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sumen" sheetId="1" state="visible" r:id="rId3"/>
    <sheet name="01 Actuaciones previas" sheetId="2" state="visible" r:id="rId4"/>
    <sheet name="02 Movimiento de tierras" sheetId="3" state="visible" r:id="rId5"/>
    <sheet name="03 Saneamiento enterrado" sheetId="4" state="visible" r:id="rId6"/>
    <sheet name="04 Cimentación y estructura" sheetId="5" state="visible" r:id="rId7"/>
    <sheet name="05 Cubiertas" sheetId="6" state="visible" r:id="rId8"/>
    <sheet name="06 Albañilería" sheetId="7" state="visible" r:id="rId9"/>
    <sheet name="07 Impermeabilización y aislami" sheetId="8" state="visible" r:id="rId10"/>
    <sheet name="08 Pladur trasdosados, tabiques" sheetId="9" state="visible" r:id="rId11"/>
    <sheet name="09 Alicatados y solados" sheetId="10" state="visible" r:id="rId12"/>
    <sheet name="10 Carpintería interior" sheetId="11" state="visible" r:id="rId13"/>
    <sheet name="11 Carpintería exterior y cerra" sheetId="12" state="visible" r:id="rId14"/>
    <sheet name="12 Pintura" sheetId="13" state="visible" r:id="rId15"/>
    <sheet name="13 Electricidad y telecomunicac" sheetId="14" state="visible" r:id="rId16"/>
    <sheet name="14 Fontanería, saneamiento y sa" sheetId="15" state="visible" r:id="rId17"/>
    <sheet name="15 Climatización, ACS y ventila" sheetId="16" state="visible" r:id="rId18"/>
    <sheet name="16 Piscina" sheetId="17" state="visible" r:id="rId19"/>
    <sheet name="17 Urbanización" sheetId="18" state="visible" r:id="rId20"/>
    <sheet name="18 Seguridad y salud" sheetId="19" state="visible" r:id="rId21"/>
    <sheet name="19 Control de calidad" sheetId="20" state="visible" r:id="rId22"/>
    <sheet name="20 Gestión de residuos" sheetId="21" state="visible" r:id="rId23"/>
    <sheet name="Acero modular 16 viv." sheetId="22" state="visible" r:id="rId24"/>
    <sheet name="Envolvente modular 16 viv."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<sst xmlns="http://schemas.openxmlformats.org/spreadsheetml/2006/main" count="2375" uniqueCount="1417">
  <si>
    <t xml:space="preserve">Névola · Mediciones por oficio para pedir ofertas · 16 viviendas</t>
  </si>
  <si>
    <t xml:space="preserve">Fuente: BC3 del proyecto de ejecución (julio de 2026), con medición, desglose y descripción completa de cada partida. Importes PEM del proyecto, sin IVA, solo como referencia.</t>
  </si>
  <si>
    <t xml:space="preserve">Cap.</t>
  </si>
  <si>
    <t xml:space="preserve">Oficio (pestaña)</t>
  </si>
  <si>
    <t xml:space="preserve">Partidas</t>
  </si>
  <si>
    <t xml:space="preserve">Se piden igual</t>
  </si>
  <si>
    <t xml:space="preserve">Las sustituye el módulo</t>
  </si>
  <si>
    <t xml:space="preserve">Fuera de la vivienda</t>
  </si>
  <si>
    <t xml:space="preserve">PEM del proyecto</t>
  </si>
  <si>
    <t xml:space="preserve">C.01</t>
  </si>
  <si>
    <t xml:space="preserve">Actuaciones previas</t>
  </si>
  <si>
    <t xml:space="preserve">C.02</t>
  </si>
  <si>
    <t xml:space="preserve">Movimiento de tierras</t>
  </si>
  <si>
    <t xml:space="preserve">C.03</t>
  </si>
  <si>
    <t xml:space="preserve">Saneamiento enterrado</t>
  </si>
  <si>
    <t xml:space="preserve">C.04</t>
  </si>
  <si>
    <t xml:space="preserve">Cimentación y estructura</t>
  </si>
  <si>
    <t xml:space="preserve">C.05</t>
  </si>
  <si>
    <t xml:space="preserve">Cubiertas</t>
  </si>
  <si>
    <t xml:space="preserve">C.06</t>
  </si>
  <si>
    <t xml:space="preserve">Albañilería</t>
  </si>
  <si>
    <t xml:space="preserve">C.07</t>
  </si>
  <si>
    <t xml:space="preserve">Impermeabilización y aislamiento</t>
  </si>
  <si>
    <t xml:space="preserve">C.08</t>
  </si>
  <si>
    <t xml:space="preserve">Pladur: trasdosados, tabiques y techos</t>
  </si>
  <si>
    <t xml:space="preserve">C.09</t>
  </si>
  <si>
    <t xml:space="preserve">Alicatados y solados</t>
  </si>
  <si>
    <t xml:space="preserve">C.10</t>
  </si>
  <si>
    <t xml:space="preserve">Carpintería interior</t>
  </si>
  <si>
    <t xml:space="preserve">C.11</t>
  </si>
  <si>
    <t xml:space="preserve">Carpintería exterior y cerrajería</t>
  </si>
  <si>
    <t xml:space="preserve">C.12</t>
  </si>
  <si>
    <t xml:space="preserve">Pintura</t>
  </si>
  <si>
    <t xml:space="preserve">C.13</t>
  </si>
  <si>
    <t xml:space="preserve">Electricidad y telecomunicaciones</t>
  </si>
  <si>
    <t xml:space="preserve">C.14</t>
  </si>
  <si>
    <t xml:space="preserve">Fontanería, saneamiento y sanitarios</t>
  </si>
  <si>
    <t xml:space="preserve">C.15</t>
  </si>
  <si>
    <t xml:space="preserve">Climatización, ACS y ventilación</t>
  </si>
  <si>
    <t xml:space="preserve">C.16</t>
  </si>
  <si>
    <t xml:space="preserve">Piscina</t>
  </si>
  <si>
    <t xml:space="preserve">C.17</t>
  </si>
  <si>
    <t xml:space="preserve">Urbanización</t>
  </si>
  <si>
    <t xml:space="preserve">C.18</t>
  </si>
  <si>
    <t xml:space="preserve">Seguridad y salud</t>
  </si>
  <si>
    <t xml:space="preserve">C.19</t>
  </si>
  <si>
    <t xml:space="preserve">Control de calidad</t>
  </si>
  <si>
    <t xml:space="preserve">C.20</t>
  </si>
  <si>
    <t xml:space="preserve">Gestión de residuos</t>
  </si>
  <si>
    <t xml:space="preserve">Total proyecto (PEM)</t>
  </si>
  <si>
    <t xml:space="preserve">Acero de los módulos (16 viviendas)</t>
  </si>
  <si>
    <t xml:space="preserve">Panel y envolvente de los módulos (16 viviendas)</t>
  </si>
  <si>
    <t xml:space="preserve">«Se piden igual»: partidas que se ejecutan como en el proyecto, en fábrica o en obra (carpinterías, instalaciones, acabados, sanitarios…). Son las que hay que pedir a cada oficio.</t>
  </si>
  <si>
    <t xml:space="preserve">«Las sustituye el módulo»: estructura, forjados, fábricas, cubierta y aislamientos del proyecto convencional. No se piden: los cubren el acero y el panel de las dos últimas pestañas.</t>
  </si>
  <si>
    <t xml:space="preserve">«Fuera de la vivienda»: movimiento de tierras, cimentación, acometidas, piscina, urbanización y gastos de obra. Solo entran en las opciones 2, 3 y 4 de NIDO.</t>
  </si>
  <si>
    <t xml:space="preserve">La columna «Desglose» reproduce las líneas de medición del proyecto (tipo, unidades y medidas). La de «Datos clave» resume medidas, colores y marcas sacados del texto; la descripción completa va al lado.</t>
  </si>
  <si>
    <t xml:space="preserve">Névola · Actuaciones previas · 16 viviendas</t>
  </si>
  <si>
    <t xml:space="preserve">Capítulo C.01 del proyecto de ejecución (BC3 de julio de 2026). Medición de toda la promoción y su desglose tal como viene en el proyecto. Precios del proyecto (CYPE, PEM, sin IVA), solo como referencia.</t>
  </si>
  <si>
    <t xml:space="preserve">Código</t>
  </si>
  <si>
    <t xml:space="preserve">Partida</t>
  </si>
  <si>
    <t xml:space="preserve">Ud</t>
  </si>
  <si>
    <t xml:space="preserve">Total 16 viv.</t>
  </si>
  <si>
    <t xml:space="preserve">Media por vivienda</t>
  </si>
  <si>
    <t xml:space="preserve">Desglose de la medición (proyecto)</t>
  </si>
  <si>
    <t xml:space="preserve">Datos clave (medidas, color, marca)</t>
  </si>
  <si>
    <t xml:space="preserve">Descripción completa del proyecto</t>
  </si>
  <si>
    <t xml:space="preserve">Precio proyecto</t>
  </si>
  <si>
    <t xml:space="preserve">Importe PEM</t>
  </si>
  <si>
    <t xml:space="preserve">Alcance en el sistema modular</t>
  </si>
  <si>
    <t xml:space="preserve">D01QG110</t>
  </si>
  <si>
    <t xml:space="preserve">DESMONTAJE Y RETIRADA CARTEL PUB. INC CARGA/TRANSP</t>
  </si>
  <si>
    <t xml:space="preserve">m²</t>
  </si>
  <si>
    <t xml:space="preserve">1 × 5.00 × 4.00</t>
  </si>
  <si>
    <t xml:space="preserve">DESMONTAJE Y RETIRADA CARTEL PUB. INC CARGA/TRANSPDesmontaje y retirada de cartel publicitario formados por vigas y pilares metálicos, i/anclaje previo, recuperación de material aprovechable, apilado y p.p. de costes indirectos, según NTE/ADD-15 y 16.</t>
  </si>
  <si>
    <t xml:space="preserve">Fuera de la vivienda (promotor o Knubo)</t>
  </si>
  <si>
    <t xml:space="preserve">D36BA005</t>
  </si>
  <si>
    <t xml:space="preserve">RETIRADA ARBOL INC DESTOCONADO / TROCEADO / CARGA / TRANS</t>
  </si>
  <si>
    <t xml:space="preserve">4</t>
  </si>
  <si>
    <t xml:space="preserve">RETIRADA ARBOL INC DESTOCONADO / TROCEADO / CARGA / TRANSCortado y troceado por medio de sierra mecánica y transporte fuera de la obra de tronco de árbol, hasta 30 cms de diametro, medido a un metro de altura sobre la rasante del terreno circundante.</t>
  </si>
  <si>
    <t xml:space="preserve">DEF040</t>
  </si>
  <si>
    <t xml:space="preserve">DEMOLICIÓN MOCHETAS INSTALACIONES</t>
  </si>
  <si>
    <t xml:space="preserve">m³</t>
  </si>
  <si>
    <t xml:space="preserve">Agua: 16 × 1.20 × 0.38 × 1.00
Electricidad: 9 × 1.00 × 0.38 × 1.50</t>
  </si>
  <si>
    <t xml:space="preserve">DEMOLICIÓN MOCHETAS INSTALACIONESDemolición de muro de fábrica de ladrillo cerámico perforado, con martillo neumático, transporte del material a vertedero, con camión basculante cargado a máquina, canon de vertedero y p.p. de medios auxiliares, considerando tambien la carga.</t>
  </si>
  <si>
    <t xml:space="preserve">DMX050</t>
  </si>
  <si>
    <t xml:space="preserve">DEMOLICIÓN ACERADO</t>
  </si>
  <si>
    <t xml:space="preserve">Acera: 1 × 289.00 × 1.55</t>
  </si>
  <si>
    <t xml:space="preserve">DEMOLICIÓN ACERADODemolición de pavimento exterior de baldosas y/o losetas de hormigón incluyendo bordillo y base soporte, con martillo neumático, transporte del material a vertedero, con camión basculante cargado a máquina, canon de vertedero y p.p. de medios auxiliares, considerando tambien la carga.</t>
  </si>
  <si>
    <t xml:space="preserve">101</t>
  </si>
  <si>
    <t xml:space="preserve">DESBROCE Y LIMPIEZA DEL TERRENO</t>
  </si>
  <si>
    <t xml:space="preserve">Toda la parcela (incluye P17 y P18): 1 × 7328.36</t>
  </si>
  <si>
    <t xml:space="preserve">DESBROCE Y LIMPIEZA DEL TERRENODesbroce y limpieza superficial del terreno por medios mecánicos, para un espesor medio de 20 cm., incluso carga y transporte de tierras al vertedero, a una distancia menor de 20km., considerando ida y vuelta con camión basculante cargado a máquina, canon de vertedero y p.p. de medios auxilares, considerando también la carga.</t>
  </si>
  <si>
    <t xml:space="preserve">Total del capítulo (PEM del proyecto)</t>
  </si>
  <si>
    <t xml:space="preserve">Névola · Movimiento de tierras · 16 viviendas</t>
  </si>
  <si>
    <t xml:space="preserve">Capítulo C.02 del proyecto de ejecución (BC3 de julio de 2026). Medición de toda la promoción y su desglose tal como viene en el proyecto. Precios del proyecto (CYPE, PEM, sin IVA), solo como referencia.</t>
  </si>
  <si>
    <t xml:space="preserve">ADE005</t>
  </si>
  <si>
    <t xml:space="preserve">EXCAVACIÓN SÓTANOS</t>
  </si>
  <si>
    <t xml:space="preserve">Cuarto técnico piscinas: 1 × 40.00 × 3.50</t>
  </si>
  <si>
    <t xml:space="preserve">EXCAVACIÓN SÓTANOSExcavación de sótanos de más de 2 m de profundidad, que en todo su perímetro quedan por debajo de la rasante natural, en suelos de compacidad media, por medios mecánicos,transporte de tierras al vertedero, con camión basculante cargado a máquina, canon de vertedero y p.p. de medios auxiliares, considerando tambien la carga.</t>
  </si>
  <si>
    <t xml:space="preserve">ADE010</t>
  </si>
  <si>
    <t xml:space="preserve">EXCAVACIÓN POZOS DE CIMENTACIÓN</t>
  </si>
  <si>
    <t xml:space="preserve">Zapatas aisladas (demasía incluida en cota variable)
PAREADO 1-2: 1 × 24.65 × 1.15
PAREADO 3-4: 1 × 30.20 × 0.75
AISLADA 5: 1 × 12.75 × 1.55
PAREADO 6-7: 1 × 24.65 × 0.95
PAREADO 8-9: 1 × 30.20 × 1.30
AISLADA 10: 1 × 12.60 × 1.25
PAREADO 11-12: 1 × 24.65 × 1.55
PAREADO 13-14: 1 × 30.20 × 0.95
PAREADO 15-16: 1 × 30.20 × 1.65</t>
  </si>
  <si>
    <t xml:space="preserve">EXCAVACIÓN POZOS DE CIMENTACIÓNExcavación de pozos para cimentaciones hasta una profundidad de 2 m, en suelos de compacidad media, por medios mecánicos,transporte de tierras al vertedero, con camión basculante cargado a máquina, canon de vertedero y p.p. de medios auxiliares, considerando tambien la carga.</t>
  </si>
  <si>
    <t xml:space="preserve">ADE010b</t>
  </si>
  <si>
    <t xml:space="preserve">EXCAVACIÓN ZANJAS CIMENTACIÓN</t>
  </si>
  <si>
    <t xml:space="preserve">Vigas de atado
PAREADO 1-2: 1 × 17.20 × 0.40
PAREADO 3-4: 1 × 16.30 × 0.40
AISLADA 5: 1 × 9.95 × 0.40
PAREADO 6-7: 1 × 17.20 × 0.40
PAREADO 8-9: 1 × 16.30 × 0.40
AISLADA 10: 1 × 10.15 × 0.40
PAREADO 11-12: 1 × 17.20 × 0.40
PAREADO 13-14: 1 × 16.30 × 0.40
PAREADO 15-16: 1 × 16.30 × 0.40
MUROS BLOQUE H.A. para revestir
Vallados a calle
Perímetro parcela total: 1 × 289.00 × 0.40 × 0.40
Muros separación pareados
VIV 1-VIV 2: 1 × 8.35 × 0.40 × 0.40
VIV 3-VIV 4: 1 × 8.80 × 0.40 × 0.40
VIV 6-VIV 7: 1 × 8.35 × 0.40 × 0.40
VIV 8-VIV 9: 1 × 8.35 × 0.40 × 0.40
VIV 11-VIV 12: 1 × 8.70 × 0.40 × 0.40
VIV 13-VIV 14: 1 × 8.35 × 0.40 × 0.40
VIV 15-VIV 16: 1 × 8.35 × 0.40 × 0.40
MUROS BLOQUE H.A. cara vista
Separación entre viviendas
VIV 1-VIV 2: 1 × 1.90 × 0.40 × 0.40
VIV 2-VIV 3: 1 × 19.75 × 0.40 × 0.40
VIV 3-VIV 4: 1 × 1.50 × 0.40 × 0.40
VIV 4-VIV 5: 1 × 19.75 × 0.40 × 0.40
VIV 5-VIV 6: 1 × 19.75 × 0.40 × 0.40
VIV 6-VIV 7: 1 × 1.90 × 0.40 × 0.40
VIV 8-VIV 9: 1 × 3.90 × 0.40 × 0.40
VIV 9-VIV 10: 1 × 21.75 × 0.40 × 0.40
VIV 10-VIV 11: 1 × 21.75 × 0.40 × 0.40
VIV 11-VIV 12: 1 × 3.60 × 0.40 × 0.40
VIV 13-VIV 14: 1 × 3.00 × 0.40 × 0.40
VIV 14-VIV 15: 1 × 20.85 × 0.40 × 0.40
VIV 15-VIV 16: 1 × 3.00 × 0.40 × 0.40
VIV 16-PARCELA 17: 1 × 21.10 × 0.40 × 0.40
Separación viviendas-Zona común
Contención diferencia de niveles
VIV 1-VIV 2: 1 × 30.90 × 0.40 × 0.40
VIV 3-VIV 4: 1 × 28.60 × 0.40 × 0.40
VIV 5: 1 × 15.75 × 0.40 × 0.40
VIV 6-VIV 7: 1 × 28.70 × 0.40 × 0.40
1 × 20.60 × 0.40 × 0.40
VIV 8-VIV 9: 1 × 25.65 × 0.40 × 0.40
VIV 10: 1 × 14.15 × 0.40 × 0.40
VIV 11-VIV 12: 1 × 28.75 × 0.40 × 0.40
VIV 13-VIV 14: 1 × 29.90 × 0.40 × 0.40
1 × 21.00 × 0.40 × 0.40
VIV 15-VIV 16: 1 × 31.50 × 0.40 × 0.40
CASETA  APEROS: 1 × 13.45 × 0.40 × 0.40
PERÍMETRO PISCINA: 1 × 71.40 × 0.40 × 0.40</t>
  </si>
  <si>
    <t xml:space="preserve">EXCAVACIÓN ZANJAS CIMENTACIÓNExcavación de zanjas para cimentaciones hasta una profundidad de 2 m, en suelos de compacidad media, por medios mecánicos,transporte de tierras al vertedero, con camión basculante cargado a máquina, canon de vertedero y p.p. de medios auxiliares, considerando tambien la carga.</t>
  </si>
  <si>
    <t xml:space="preserve">ADE010c</t>
  </si>
  <si>
    <t xml:space="preserve">EXCAVACIÓN ZANJAS INSTALACIONES</t>
  </si>
  <si>
    <t xml:space="preserve">Red saneamiento enterrada
ZONA COMÚN: 1 × 81.00 × 0.40 × 0.40
VIV 1: 1 × 27.60 × 0.40 × 0.40
VIV 2: 1 × 27.60 × 0.40 × 0.40
VIV 3: 1 × 27.60 × 0.40 × 0.40
VIV 4: 1 × 27.60 × 0.40 × 0.40
VIV 5: 1 × 39.40 × 0.40 × 0.40
VIV 6: 1 × 36.60 × 0.40 × 0.40
VIV 7: 1 × 36.60 × 0.40 × 0.40
VIV 8: 1 × 33.10 × 0.40 × 0.40
VIV 9: 1 × 33.80 × 0.40 × 0.40
VIV 10: 1 × 31.45 × 0.40 × 0.40
VIV 11: 1 × 27.60 × 0.40 × 0.40
VIV 12: 1 × 27.60 × 0.40 × 0.40
VIV 13: 1 × 27.60 × 0.40 × 0.40
VIV 14: 1 × 27.60 × 0.40 × 0.40
VIV 15: 1 × 27.60 × 0.40 × 0.40
VIV 16: 1 × 27.60 × 0.40 × 0.40
Agua
ZONA COMÚN: 1 × 110.00 × 0.40 × 0.40
VIVIENDAS: 16 × 24.00 × 0.40 × 0.40
Electricidad
ZONA COMÚN: 1 × 255.00 × 0.40 × 0.40
VIVIENDAS: 12 × 6.00 × 0.40 × 0.40
2 × 14.00 × 0.40 × 0.40
2 × 19.50 × 0.40 × 0.40</t>
  </si>
  <si>
    <t xml:space="preserve">EXCAVACIÓN ZANJAS INSTALACIONESExcavación de zanjas para instalaciones hasta una profundidad de 2 m, en suelos de compacidad media, por medios mecánicos,transporte de tierras al vertedero, con camión basculante cargado a máquina, canon de vertedero y p.p. de medios auxiliares, considerando tambien la carga.</t>
  </si>
  <si>
    <t xml:space="preserve">ADR030</t>
  </si>
  <si>
    <t xml:space="preserve">RELLENO Y COMPACTACIÓN</t>
  </si>
  <si>
    <t xml:space="preserve">Toda la parcela (hmedia=1.15 m): 1 × 6679.55 × 1.15
Incluye relleno bordes cimentación encofrada</t>
  </si>
  <si>
    <t xml:space="preserve">RELLENO Y COMPACTACIÓNBase de pavimento realizada mediante relleno a cielo abierto, con tierra de préstamo, y compactación en tongadas sucesivas de 30 cm de espesor máximo con rodillo vibrante de guiado manual, hasta alcanzar una densidad seca no inferior al 98% de la máxima obtenida en el ensayo Proctor Modificado, realizado según UNE 103501. El precio incluye el ensayo de Proctor Modificado.</t>
  </si>
  <si>
    <t xml:space="preserve">Névola · Saneamiento enterrado · 16 viviendas</t>
  </si>
  <si>
    <t xml:space="preserve">Capítulo C.03 del proyecto de ejecución (BC3 de julio de 2026). Medición de toda la promoción y su desglose tal como viene en el proyecto. Precios del proyecto (CYPE, PEM, sin IVA), solo como referencia.</t>
  </si>
  <si>
    <t xml:space="preserve">UAP011</t>
  </si>
  <si>
    <t xml:space="preserve">ARQUETA DE ARRANQUE</t>
  </si>
  <si>
    <t xml:space="preserve">AA
Pluviales: 16 × 1.00
Fecales: 16 × 1.00
Zona común: 1 × 1.00</t>
  </si>
  <si>
    <t xml:space="preserve">Medidas: 125x125x100cm, 150x150cm</t>
  </si>
  <si>
    <t xml:space="preserve">ARQUETA DE ARRANQUEFormación de pozo de registro de elementos prefabricados de hormigón en masa, de 0,90 m de diámetro interior y de 2,1 m de altura útil interior máxima, formado por: solera de 25 cm de espesor de hormigón armado HA-30/B/20/IIb+Qb ligeramente armada con malla electrosoldada ME 20x20 Ø 8-8 B 500 T 6x2,20 UNE-EN 10080; base prefabricada de hormigón en masa, de 125x125x100 cm, con dos orificios de 30 cm de diámetro para conexión de colectores, de 90 cm de diámetro interior, con unión rígida machihembrada con junta de goma, según UNE-EN 1917, resistencia a compresión mayor de 250 kg/cm²; anillo prefabricado de hormigón en masa, con unión rígida machihembrada con junta de goma, según UNE-EN 1917, de 100 cm de diámetro interior y 50 cm de altura, resistencia a compresión mayor de 250 kg/cm²; cono asimétrico prefabricado de hormigón en masa, con unión rígida machihembrada con junta de goma, según UNE-EN 1917, de 100 a 60 cm de diámetro interior y 60 cm de altura, resistencia a compresión mayor de 250 kg/cm² y losa alrededor de la boca del cono de 150x150 cm y 20 cm de espesor de hormigón en masa HM-30/B/20/I+Qb; con cierre de tapa circular con bloqueo y marco de fundición clase D-400 según UNE-EN 124, instalado en calzadas de calles, incluyendo las peatonales, o zonas de aparcamiento para todo tipo de vehículos. Incluso hormigón en masa HM-30/B/20/I+Qb para formación de canal en el fondo del pozo y lubricante para montaje.El precio incluye los equipos y la maquinaria necesarios para el desplazamiento y la disposición en obra de los elementos, así como la excavación y el relleno del trasdós.</t>
  </si>
  <si>
    <t xml:space="preserve">ASB020</t>
  </si>
  <si>
    <t xml:space="preserve">CONEXIÓN ACOMETIDA</t>
  </si>
  <si>
    <t xml:space="preserve">Pozos
Pluviales: 16 × 1.00
Fecales: 16 × 1.00
Zona común: 1 × 1.00</t>
  </si>
  <si>
    <t xml:space="preserve">CONEXIÓN ACOMETIDASuministro y montaje de la conexión de la acometida del edificio a la red general de saneamiento del municipio a través de pozo de registro. Incluso junta flexible para el empalme de la acometida y mortero de cemento, industrial, M-5 para repaso y bruñido en el interior del pozo.</t>
  </si>
  <si>
    <t xml:space="preserve">ASB010b</t>
  </si>
  <si>
    <t xml:space="preserve">ACOMETIDA DE SANEAMIENTO (ALBAÑAL)</t>
  </si>
  <si>
    <t xml:space="preserve">m</t>
  </si>
  <si>
    <t xml:space="preserve">Pluviales
VIV 1: 1 × 5.10
VIV 2: 1 × 5.75
VIV 3: 1 × 5.00
VIV 4: 1 × 6.20
VIV 5: 1 × 4.90
VIV 6: 1 × 4.90
VIV 7: 1 × 5.00
VIV 8: 1 × 7.60
VIV 9: 1 × 6.20
VIV 10: 1 × 6.70
VIV 11: 1 × 5.75
VIV 12: 1 × 5.45
VIV 13: 1 × 6.75
VIV 14: 1 × 6.25
VIV 15: 1 × 7.10
VIV 16: 1 × 6.70
Fecales
VIV 1: 1 × 3.90
VIV 2: 1 × 5.10
VIV 3: 1 × 3.80
VIV 4: 1 × 5.20
VIV 5: 1 × 3.85
VIV 6: 1 × 4.10
VIV 7: 1 × 3.80
VIV 8: 1 × 6.70
VIV 9: 1 × 6.15
VIV 10: 1 × 5.90
VIV 11: 1 × 4.90
VIV 12: 1 × 4.90
VIV 13: 1 × 5.40
VIV 14: 1 × 5.20
VIV 15: 1 × 5.60
VIV 16: 1 × 5.60
ZONA COMÚN: 1 × 5.70</t>
  </si>
  <si>
    <t xml:space="preserve">ACOMETIDA DE SANEAMIENTO (ALBAÑAL)Suministro y montaje de acometida general de saneamiento, para la evacuación de aguas residuales y/o pluviales a la red general del municipio, con una pendiente mínima del 2%, para la evacuación de aguas residuales y/o pluviales, formada por tubo de PVC corrugado, rigidez anular nominal 8 kN/m², de 250 mm de diámetro exterior, con junta elástica, colocado sobre lecho de arena de 10 cm de espesor, debidamente compactada y nivelada con pisón vibrante de guiado manual, relleno lateral compactando hasta los riñones y posterior relleno con la misma arena hasta 30 cm por encima de la generatriz superior de la tubería, con sus correspondientes juntas y piezas especiales. Incluso lubricante para montaje y hormigón en masa HM-20/P/20/I para la posterior reposición del firme existente. El precio incluye la demolición y el levantado del firme existente, así como la excavación y el relleno.</t>
  </si>
  <si>
    <t xml:space="preserve">0324SH0502</t>
  </si>
  <si>
    <t xml:space="preserve">VÁLVULA ANTIRRETORNO ACOMETIDA</t>
  </si>
  <si>
    <t xml:space="preserve">Pluviales: 16 × 1.00
Fecales: 16 × 1.00
Zona común: 1 × 1.00</t>
  </si>
  <si>
    <t xml:space="preserve">VÁLVULA ANTIRRETORNO ACOMETIDASuministro, instalación y montaje de válvula antirretorno de doble clapeta con cierre manual para colector de diámetro igual al de la acometida. Totalmente instalada y funcionado de acuerdo con CTE-HS-5 e instrucciones del fabricante, incluida p.p. de accesorios de conexión adecuados,  incluso piezas especiales necesarias, ayudas de albañilería y medios auxiliares necesarios, totalmente terminada.Totalmente instalada, probada su estanqueidad y funcionamiento y en servicio según indicaciones de la D.F., CTE DB-HS,  y especificaciones técnicas del fabricante.</t>
  </si>
  <si>
    <t xml:space="preserve">203b</t>
  </si>
  <si>
    <t xml:space="preserve">ARQUETA DE PASO 50x50x60</t>
  </si>
  <si>
    <t xml:space="preserve">AF01: 16 × 2.00
AP01: 16 × 2.00
Zona común: 1 × 4.00</t>
  </si>
  <si>
    <t xml:space="preserve">Medidas: 50x50x60cm</t>
  </si>
  <si>
    <t xml:space="preserve">ARQUETA DE PASO 50x50x60Formación de arqueta de paso, enterrada, registrable, construida con fábrica de ladrillo cerámico macizo, de 1/2 pie de espesor, recibido con mortero de cemento, industrial, M-5, de dimensiones interiores 50x50x60 cm, sobre solera de hormigón en masa HM-30/B/20/I+Qb de 15 cm de espesor, formación de pendiente mínima del 2%, con el mismo tipo de hormigón, enfoscada y bruñida interiormente con mortero de cemento, industrial, con aditivo hidrófugo, M-15 formando aristas y esquinas a media caña, cerrada superiormente con tablero cerámico hueco machihembrado y losa de hormigón HA-30/B/20/IIb+Qb, armada con malla electrosoldada y sellada herméticamente con mortero de cemento. Incluso mortero para sellado de juntas y piezas de PVC cortadas longitudinalmente para formación del canal en el fondo de la arqueta.</t>
  </si>
  <si>
    <t xml:space="preserve">208</t>
  </si>
  <si>
    <t xml:space="preserve">COLECTOR ENTERRADO PVC 110 mm</t>
  </si>
  <si>
    <t xml:space="preserve">Fecales: 16 × 2.00
Pluviales: 16 × 2.25
Previsión piscina (fecales): 16 × 3.50</t>
  </si>
  <si>
    <t xml:space="preserve">COLECTOR ENTERRADO PVC 110 mmSuministro y montaje de colector enterrado de red horizontal de saneamiento, con arquetas, con una pendiente mínima del 2%, para la evacuación de aguas residuales y/o pluviales, formado por tubo de PVC liso, serie SN-4, rigidez anular nominal 4 kN/m², de 110 mm de diámetro exterior, pegado mediante adhesivo, colocado sobre lecho de arena de 10 cm de espesor, debidamente compactada y nivelada con pisón vibrante de guiado manual, relleno lateral compactando hasta los riñones y posterior relleno con la misma arena hasta 30 cm por encima de la generatriz superior de la tubería. Incluso líquido limpiador y adhesivo para tubos y accesorios de PVC.</t>
  </si>
  <si>
    <t xml:space="preserve">209</t>
  </si>
  <si>
    <t xml:space="preserve">COLECTOR ENTERRADO PVC 125 mm</t>
  </si>
  <si>
    <t xml:space="preserve">Pluviales (general cubiertas): 16 × 8.50
Sumideros zona aparcamiento: 13 × 2.40
1 × 5.35
1 × 11.25
1 × 3.85
Zona común: 1 × 33.65</t>
  </si>
  <si>
    <t xml:space="preserve">COLECTOR ENTERRADO PVC 125 mmSuministro y montaje de colector enterrado de red horizontal de saneamiento, con arquetas, con una pendiente mínima del 2%, para la evacuación de aguas residuales y/o pluviales, formado por tubo de PVC liso, serie SN-4, rigidez anular nominal 4 kN/m², de 125 mm de diámetro exterior, pegado mediante adhesivo, colocado sobre lecho de arena de 10 cm de espesor, debidamente compactada y nivelada con pisón vibrante de guiado manual, relleno lateral compactando hasta los riñones y posterior relleno con la misma arena hasta 30 cm por encima de la generatriz superior de la tubería. Incluso líquido limpiador y adhesivo para tubos y accesorios de PVC.</t>
  </si>
  <si>
    <t xml:space="preserve">210</t>
  </si>
  <si>
    <t xml:space="preserve">COLECTOR ENTERRADO PVC 160 mm</t>
  </si>
  <si>
    <t xml:space="preserve">Pluviales
VIV 1: 1 × 8.50
VIV 2: 1 × 7.65
VIV 3: 1 × 8.50
VIV 4: 1 × 7.65
VIV 5: 1 × 4.55
VIV 6: 1 × 6.55
VIV 7: 1 × 7.50
VIV 8: 1 × 4.05
VIV 9: 1 × 6.40
VIV 10: 1 × 9.30
VIV 11: 1 × 8.50
VIV 12: 1 × 7.65
VIV 13: 1 × 8.50
VIV 14: 1 × 7.65
VIV 15: 1 × 8.50
VIV 16: 1 × 7.65
Fecales
VIV 1: 1 × 4.55
VIV 2: 1 × 4.55
VIV 3: 1 × 4.55
VIV 4: 1 × 4.55
VIV 5: 1 × 9.55
VIV 6: 1 × 13.95
VIV 7: 1 × 12.65
VIV 8: 1 × 9.25
VIV 9: 1 × 11.40
VIV 10: 1 × 3.90
VIV 11: 1 × 4.55
VIV 12: 1 × 4.55
VIV 13: 1 × 4.55
VIV 14: 1 × 4.55
VIV 15: 1 × 4.55
VIV 16: 1 × 4.55
Zona común: 1 × 29.80</t>
  </si>
  <si>
    <t xml:space="preserve">COLECTOR ENTERRADO PVC 160 mmSuministro y montaje de colector enterrado de red horizontal de saneamiento, con arquetas, con una pendiente mínima del 2%, para la evacuación de aguas residuales y/o pluviales, formado por tubo de PVC liso, serie SN-4, rigidez anular nominal 4 kN/m², de 160 mm de diámetro exterior, pegado mediante adhesivo, colocado sobre lecho de arena de 10 cm de espesor, debidamente compactada y nivelada con pisón vibrante de guiado manual, relleno lateral compactando hasta los riñones y posterior relleno con la misma arena hasta 30 cm por encima de la generatriz superior de la tubería. Incluso líquido limpiador y adhesivo para tubos y accesorios de PVC.</t>
  </si>
  <si>
    <t xml:space="preserve">ISS010cc</t>
  </si>
  <si>
    <t xml:space="preserve">COLECTOR SUSPENDIDO PVC 52 mm</t>
  </si>
  <si>
    <t xml:space="preserve">Suelo radiante: 16 × 1.70</t>
  </si>
  <si>
    <t xml:space="preserve">COLECTOR SUSPENDIDO PVC 52 mmSuministro e instalación de colector suspendido insonorizado de red horizontal, formado por tubo PVC-U, ABS, ASA y PVC-U con carga mineral de 52 mm de diámetro y 2,8 mm de espesor, unión a presión con junta elástica, con una pendiente mínima del 1,00%, para la evacuación de aguas residuales (a baja y alta temperatura) y/o pluviales en el interior de la estructura de los edificios. Incluso material auxiliar para montaje y sujeción a la obra, accesorios y piezas especiales.</t>
  </si>
  <si>
    <t xml:space="preserve">Lo sustituye el módulo: no se pide así</t>
  </si>
  <si>
    <t xml:space="preserve">ISS010c</t>
  </si>
  <si>
    <t xml:space="preserve">COLECTOR SUSPENDIDO PVC 90 mm</t>
  </si>
  <si>
    <t xml:space="preserve">Pluviales: 16 × 5.30</t>
  </si>
  <si>
    <t xml:space="preserve">COLECTOR SUSPENDIDO PVC 90 mmSuministro e instalación de colector suspendido insonorizado de red horizontal, formado por tubo PVC-U, ABS, ASA y PVC-U con carga mineral de 90 mm de diámetro y 5,1 mm de espesor, unión a presión con junta elástica, con una pendiente mínima del 1,00%, para la evacuación de aguas residuales (a baja y alta temperatura) y/o pluviales en el interior de la estructura de los edificios. Incluso material auxiliar para montaje y sujeción a la obra, accesorios y piezas especiales.</t>
  </si>
  <si>
    <t xml:space="preserve">ISS010cb</t>
  </si>
  <si>
    <t xml:space="preserve">COLECTOR SUSPENDIDO PVC 110 mm</t>
  </si>
  <si>
    <t xml:space="preserve">Fecales
Baño 2: 16 × 1.45
Baño principal: 16 × 1.15
Cámara sanitaria (cáviti): 16 × 22.90</t>
  </si>
  <si>
    <t xml:space="preserve">COLECTOR SUSPENDIDO PVC 110 mmSuministro e instalación de colector suspendido insonorizado de red horizontal, formado por tubo PVC-U, ABS, ASA y PVC-U con carga mineral de 110 mm de diámetro y 5,3 mm de espesor, unión a presión con junta elástica, con una pendiente mínima del 1,00%, para la evacuación de aguas residuales (a baja y alta temperatura) y/o pluviales en el interior de la estructura de los edificios. Incluso material auxiliar para montaje y sujeción a la obra, accesorios y piezas especiales.</t>
  </si>
  <si>
    <t xml:space="preserve">ISB010</t>
  </si>
  <si>
    <t xml:space="preserve">BAJANTE RESIDUALES. PVC 110 mm</t>
  </si>
  <si>
    <t xml:space="preserve">F1-F2: 16 × 2.00 × 3.50
Ventilación cámara sanitaria: 7 × 6.00 × 1.20
1 × 4.00 × 1.20
1 × 4.00 × 1.20</t>
  </si>
  <si>
    <t xml:space="preserve">BAJANTE RESIDUALES. PVC 110 mmBajante interior insonorizada de la red de evacuación de aguas residuales, formada por tubo de PVC-U, ABS, ASA y PVC-U con carga mineral, de 110 mm de diámetro y 5,3 mm de espesor; unión a presión con junta elástica. Incluso material auxiliar para montaje y sujeción a la obra, accesorios y piezas especiales.</t>
  </si>
  <si>
    <t xml:space="preserve">Se pide igual (fábrica u obra)</t>
  </si>
  <si>
    <t xml:space="preserve">ISB010b</t>
  </si>
  <si>
    <t xml:space="preserve">BAJANTE PLUVIALES. PVC 90 mm</t>
  </si>
  <si>
    <t xml:space="preserve">P1-P2: 16 × 6.50
P3: 16 × 3.50
Caseta aperos: 1 × 3.20</t>
  </si>
  <si>
    <t xml:space="preserve">BAJANTE PLUVIALES. PVC 90 mmBajante interior insonorizada de la red de evacuación de aguas pluviales, formada por tubo de PVC-U, ABS, ASA y PVC-U con carga mineral, de 90 mm de diámetro y 5,1 mm de espesor; unión a presión con junta elástica. Incluso material auxiliar para montaje y sujeción a la obra, accesorios y piezas especiales.</t>
  </si>
  <si>
    <t xml:space="preserve">0324SH0204</t>
  </si>
  <si>
    <t xml:space="preserve">CANALETA SUMIDERO PREFABRICADA 25 cm. URBANIZACIÓN</t>
  </si>
  <si>
    <t xml:space="preserve">Piscina: 1 × 15.00</t>
  </si>
  <si>
    <t xml:space="preserve">CANALETA SUMIDERO PREFABRICADA 25 cm. URBANIZACIÓNSuministro y montaje de canaleta sumidero sifónica longitudinal de fundición en urbanización, en tramos de 1000 mm de largo, 150 mm de ancho y 170 mm de alto, con rejilla cuadriculada de fundición, en piezas de 1000 mm de longitud, incluso p.p. de conexión a saneamiento con tubería de PVC serie F colocado en parcela recibido con solapes de la lámina impermeabilizante, totalmente enrasado con el pavimento de terminación, instalado y conectado a la red de evacuación, todo ello según especificaciones de proyecto, NTE-ISS, DIT del fabricante, marcado CE y CÓDIGO TÉCNICO DE LA EDIFICACIÓN DB-HS.</t>
  </si>
  <si>
    <t xml:space="preserve">212</t>
  </si>
  <si>
    <t xml:space="preserve">SUMIDERO SIFÓNICO</t>
  </si>
  <si>
    <t xml:space="preserve">Cubierta planta no transitable: 16 × 2.00
Cubierta plana transitable (terrazas): 16 × 2.00
Caseta aperos: 1 × 1.00
Exterior viviendas: 16 × 1.00
Cuarto técnico piscinas: 1 × 1.00</t>
  </si>
  <si>
    <t xml:space="preserve">Medidas: 250x250mm</t>
  </si>
  <si>
    <t xml:space="preserve">SUMIDERO SIFÓNICOInstalación de sumidero sifónico de PVC, de salida vertical de 90 mm de diámetro, con rejilla de PVC de 250x250 mm, para recogida de aguas pluviales o de locales húmedos. Incluso accesorios de montaje, piezas especiales y elementos de sujeción.</t>
  </si>
  <si>
    <t xml:space="preserve">HRP060</t>
  </si>
  <si>
    <t xml:space="preserve">REBOSADEROS</t>
  </si>
  <si>
    <t xml:space="preserve">Cubiertas planta primera
PAREADO TIPO: 7 × 2.00
AISLADA TIPO 1 (VIVIENDA 5): 1 × 2.00
AISLADA TIPO 2 (VIVIENDA 10): 1 × 2.00</t>
  </si>
  <si>
    <t xml:space="preserve">Medidas: 100x220x58mm · Color: blanco</t>
  </si>
  <si>
    <t xml:space="preserve">REBOSADEROSGárgola de hormigón polímero de superficie pulida, de color blanco, de 100x220x58 mm y base rectangular, con goterón, recibida con adhesivo cementoso flexible y sellado de la junta perimetral con masilla de poliuretano, previa aplicación de la imprimación. Incluso nivelación y remate de la impermeabilización en caso necesario.</t>
  </si>
  <si>
    <t xml:space="preserve">ISD009</t>
  </si>
  <si>
    <t xml:space="preserve">SUMIDERO SIFÓNICO DUCHA</t>
  </si>
  <si>
    <t xml:space="preserve">Ducha piscina chapoteo: 1</t>
  </si>
  <si>
    <t xml:space="preserve">Medidas: 100x100mm</t>
  </si>
  <si>
    <t xml:space="preserve">SUMIDERO SIFÓNICO DUCHASumidero sifónico de PVC con rejilla de acero inoxidable de 100x100 mm y salidas vertical y horizontal de 50 mm de diámetro, para desagüe de ducha de obra.</t>
  </si>
  <si>
    <t xml:space="preserve">IVN110</t>
  </si>
  <si>
    <t xml:space="preserve">REJILLA VENTILACIÓN</t>
  </si>
  <si>
    <t xml:space="preserve">Ventilación cámara sanitaria
PAREADO TIPO: 7 × 6.00
VIVIENDA  AISLADA (VIVIENDA 5): 1 × 4.00
VIVIENDA  AISLADA (VIVIENDA 10): 1 × 4.00
Caseta aperos: 1 × 1.00
Cuarto técnico piscinas: 1 × 2.00</t>
  </si>
  <si>
    <t xml:space="preserve">Medidas: 15x15cm · Color: con</t>
  </si>
  <si>
    <t xml:space="preserve">REJILLA VENTILACIÓNRejilla de ventilación de lamas fijas de aluminio lacado color con 60 micras de espesor mínimo de película seca, de dimensiones 15x15 cm. Incluso tornillos.Incluye: Marcado de los puntos de fijación. Colocación y fijación.Criterio de medición de proyecto: Superficie del hueco a cerrar, medida según documentación gráfica de Proyecto.Criterio de medición de obra: Se medirá, con las dimensiones del hueco, la superficie realmente ejecutada según especificaciones de Proyecto.</t>
  </si>
  <si>
    <t xml:space="preserve">Névola · Cimentación y estructura · 16 viviendas</t>
  </si>
  <si>
    <t xml:space="preserve">Capítulo C.04 del proyecto de ejecución (BC3 de julio de 2026). Medición de toda la promoción y su desglose tal como viene en el proyecto. Precios del proyecto (CYPE, PEM, sin IVA), solo como referencia.</t>
  </si>
  <si>
    <t xml:space="preserve">CMP010</t>
  </si>
  <si>
    <t xml:space="preserve">POZO DE CIMENTACIÓN (RELLENO A FIRME)</t>
  </si>
  <si>
    <t xml:space="preserve">ZAPATAS AISLADAS/CIMEN ESCALERAS (demasía 25 %)
PAREADO 1-2: 1 × 24.65 × 1.25 × 0.65
PAREADO 3-4: 1 × 30.20 × 1.25 × 0.25
AISLADA 5: 1 × 12.75 × 1.25 × 1.05
PAREADO 6-7: 1 × 24.65 × 1.25 × 0.45
PAREADO 8-9: 1 × 30.20 × 1.25 × 0.80
AISLADA 10: 1 × 12.60 × 1.25 × 0.75
PAREADO 11-12: 1 × 24.65 × 1.25 × 1.05
PAREADO 13-14: 1 × 30.20 × 1.25 × 0.45
PAREADO 15-16: 1 × 30.20 × 1.25 × 1.15</t>
  </si>
  <si>
    <t xml:space="preserve">POZO DE CIMENTACIÓN DE HORMIGÓN CICLÓPEOPozo de cimentación de hormigón HL-150/B/20, fabricado en central y vertido desde camión, en el fondo de la excavación previamente realizada. Incluye: Replanteo. Colocación de toques y/o formación de maestras. Vertido y compactación del hormigón. Coronación y enrase del hormigón.Incluye: Replanteo y trazado de las zapatas y de los pilares u otros elementos estructurales que apoyen en las mismas. Vertido y compactación del hormigón. Colocación de las piedras en el hormigón fresco. Coronación y enrase de cimientos. Curado del hormigón.Criterio de medición de proyecto: Volumen teórico, según documentación gráfica de Proyecto.Criterio de medición de obra: Se medirá el volumen teórico ejecutado según especificaciones de Proyecto, sin incluir los incrementos por excesos de excavación no autorizados.</t>
  </si>
  <si>
    <t xml:space="preserve">301</t>
  </si>
  <si>
    <t xml:space="preserve">HORMIGÓN DE LIMPIEZA h=10 cm</t>
  </si>
  <si>
    <t xml:space="preserve">VIGAS DE ATADO (demasía 25 %)
PAREADO 1-2: 1 × 17.20 × 1.25
PAREADO 3-4: 1 × 16.30 × 1.25
AISLADA 5: 1 × 9.95 × 1.25
PAREADO 6-7: 1 × 17.20 × 1.25
PAREADO 8-9: 1 × 16.30 × 1.25
AISLADA 10: 1 × 10.15 × 1.25
PAREADO 11-12: 1 × 17.20 × 1.25
PAREADO 13-14: 1 × 16.30 × 1.25 × 1.25
PAREADO 15-16: 1 × 16.30 × 1.25
BASE SOLERA CÁVITI
PAREADO TIPO: 7 × 150.40
AISLADA TIPO 1 (VIVIENDA 5): 1 × 77.10
AISLADA TIPO 2 (VIVIENDA 10): 1 × 77.95
MUROS BLOQUE H.A. para revestir (demasía 25 %)
Vallados a calle
Perímetro parcela total: 1 × 289.00 × 0.40 × 1.25
Muros separación pareados
VIV 1-VIV 2: 1 × 8.35 × 0.40 × 1.25
VIV 3-VIV 4: 1 × 8.80 × 0.40 × 1.25
VIV 6-VIV 7: 1 × 8.35 × 0.40 × 1.25
VIV 8-VIV 9: 1 × 8.35 × 0.40 × 1.25
VIV 11-VIV 12: 1 × 8.70 × 0.40 × 1.25
VIV 13-VIV 14: 1 × 8.35 × 0.40 × 1.25
VIV 15-VIV 16: 1 × 8.35 × 0.40 × 1.25
MUROS BLOQUE H.A. cara vista (demasía 25 %)
Separación entre viviendas
VIV 1-VIV 2: 1 × 1.90 × 0.40 × 1.25
VIV 2-VIV 3: 1 × 19.75 × 0.40 × 1.25
VIV 3-VIV 4: 1 × 1.50 × 0.40 × 1.25
VIV 4-VIV 5: 1 × 19.75 × 0.40 × 1.25
VIV 5-VIV 6: 1 × 19.75 × 0.40 × 1.25
VIV 6-VIV 7: 1 × 1.90 × 0.40 × 1.25
VIV 8-VIV 9: 1 × 3.90 × 0.40 × 1.25
VIV 9-VIV 10: 1 × 21.75 × 0.40 × 1.25
VIV 10-VIV 11: 1 × 21.75 × 0.40 × 1.25
VIV 11-VIV 12: 1 × 3.60 × 0.40 × 1.25
VIV 13-VIV 14: 1 × 3.00 × 0.40 × 1.25
VIV 14-VIV 15: 1 × 20.85 × 0.40 × 1.25
VIV 15-VIV 16: 1 × 3.00 × 0.40 × 1.25
VIV 16-PARCELA 17: 1 × 21.10 × 0.40 × 1.25
Separación viviendas-Zona común (demasía 25 %)
Contención diferencia de niveles
VIV 1-VIV 2: 1 × 30.90 × 0.40 × 1.25
VIV 3-VIV 4: 1 × 28.60 × 0.40 × 1.25
VIV 5: 1 × 15.75 × 0.40 × 1.25
VIV 6-VIV 7: 1 × 28.70 × 0.40 × 1.25
1 × 20.60 × 0.40 × 1.25
VIV 8-VIV 9: 1 × 25.65 × 0.40 × 1.25
VIV 10: 1 × 14.15 × 0.40 × 1.25
VIV 11-VIV 12: 1 × 28.75 × 0.40 × 1.25
VIV 13-VIV 14: 1 × 29.90 × 0.40 × 1.25
1 × 21.00 × 0.40 × 1.25
VIV 15-VIV 16: 1 × 31.50 × 0.40 × 1.25
CASETA  APEROS: 1 × 13.45 × 0.40 × 1.25
PERÍMETRO PISCINA: 1 × 71.40 × 0.40 × 1.25
CUARTO TÉCNICO PISCINA: 1 × 21.00</t>
  </si>
  <si>
    <t xml:space="preserve">HORMIGÓN DE LIMPIEZA h=10 cmCapa de hormigón de limpieza y nivelado de fondos de cimentación, de 10 cm de espesor, de hormigón HL-150/B/20, fabricado en central y vertido desde camión, en el fondo de la excavación previamente realizada. Incluye: Replanteo. Colocación de toques y/o formación de maestras. Vertido y compactación del hormigón. Coronación y enrase del hormigón.</t>
  </si>
  <si>
    <t xml:space="preserve">CSZ020</t>
  </si>
  <si>
    <t xml:space="preserve">ENCOFRADO CIMENTACIÓN</t>
  </si>
  <si>
    <t xml:space="preserve">ZAPATAS AISLADAS/CIMEN ESCALERAS/VIGAS DE ATADO
PAREADO 1-2: 1 × 155.70 × 0.60
PAREADO 3-4: 1 × 159.80 × 0.60
AISLADA 5: 1 × 88.80 × 0.60
PAREADO 6-7: 1 × 155.70 × 0.60
PAREADO 8-9: 1 × 159.80 × 0.60
AISLADA 10: 1 × 89.90 × 0.60
PAREADO 11-12: 1 × 155.70 × 0.60
PAREADO 13-14: 1 × 159.80 × 0.60
PAREADO 15-16: 1 × 159.80 × 0.60</t>
  </si>
  <si>
    <t xml:space="preserve">ENCOFRADO CIMENTACIÓNMontaje de sistema de encofrado recuperable de madera, para zapata de cimentación, formado por tablones de madera, amortizables en 10 usos, y posterior desmontaje del sistema de encofrado. Incluso elementos de sustentación, fijación y acodalamientos necesarios para su estabilidad y líquido desencofrante para evitar la adherencia del hormigón al encofrado.</t>
  </si>
  <si>
    <t xml:space="preserve">CSZ030</t>
  </si>
  <si>
    <t xml:space="preserve">ZAPATA HORMIGÓN ARMADO HA-25/F/20/XC2</t>
  </si>
  <si>
    <t xml:space="preserve">ZAPATAS AISLADAS/CIMEN ESCALERAS
PAREADO 1-2: 1 × 24.65 × 0.50
PAREADO 3-4: 1 × 30.20 × 0.50
AISLADA 5: 1 × 12.75 × 0.50
PAREADO 6-7: 1 × 24.65 × 0.50
PAREADO 8-9: 1 × 30.20 × 0.50
AISLADA 10: 1 × 12.60 × 0.50
PAREADO 11-12: 1 × 24.65 × 0.50
PAREADO 13-14: 1 × 30.20 × 0.50
PAREADO 15-16: 1 × 30.20 × 0.50</t>
  </si>
  <si>
    <t xml:space="preserve">ZAPATA HORMIGÓN ARMADO HA-25/F/20/XC2Zapata de cimentación de hormigón armado, realizada con hormigón HA-25/F/20/XC2 fabricado en central, y vertido con cubilote, y acero, UNE-EN 10080 B 500 S, con una cuantía aproximada de 35,1 kg/m³. Incluso armaduras de espera del pilar, alambre de atar y separadores.Criterio de valoración económica: El precio incluye la elaboración de la ferralla (corte, doblado y conformado de elementos) en taller industrial y el montaje en el lugar definitivo de su colocación en obra, pero no incluye el encofrado.Incluye: Replanteo y trazado de las zapatas y de los pilares u otros elementos estructurales que apoyen en las mismas. Colocación de separadores y fijación de las armaduras. Vertido y compactación del hormigón. Coronación y enrase de cimientos. Curado del hormigón.Criterio de medición de proyecto: Volumen medido sobre las secciones teóricas de la excavación, según documentación gráfica de Proyecto.Criterio de medición de obra: Se medirá el volumen teórico ejecutado según especificaciones de Proyecto, sin incluir los incrementos por excesos de excavación no autorizados.</t>
  </si>
  <si>
    <t xml:space="preserve">CAV030</t>
  </si>
  <si>
    <t xml:space="preserve">VIGA DE ATADO HA-25/F/20/XC2</t>
  </si>
  <si>
    <t xml:space="preserve">VIGAS DE ATADO
PAREADO 1-2: 1 × 17.20 × 0.40
PAREADO 3-4: 1 × 16.30 × 0.40
AISLADA 5: 1 × 9.95 × 0.40
PAREADO 6-7: 1 × 17.20 × 0.40
PAREADO 8-9: 1 × 16.30 × 0.40
AISLADA 10: 1 × 10.15 × 0.40
PAREADO 11-12: 1 × 17.20 × 0.40
PAREADO 13-14: 1 × 16.30 × 0.40
PAREADO 15-16: 1 × 16.30 × 0.40</t>
  </si>
  <si>
    <t xml:space="preserve">VIGA DE ATADO HA-25/F/20/XC2/VALLADOSViga de atado de hormigón armado, realizada con hormigón HA-25/F/20/XC2 fabricado en central, y vertido con cubilote, y acero, UNE-EN 10080 B 500 S, con una cuantía aproximada de 61,8 kg/m³. Incluso alambre de atar y separadores.Criterio de valoración económica: El precio incluye la elaboración de la ferralla (corte, doblado y conformado de elementos) en taller industrial y el montaje en el lugar definitivo de su colocación en obra, pero no incluye el encofrado.Incluye: Colocación de la armadura con separadores homologados. Vertido y compactación del hormigón. Coronación y enrase. Curado del hormigón.Criterio de medición de proyecto: Volumen medido sobre las secciones teóricas de la excavación, según documentación gráfica de Proyecto.Criterio de medición de obra: Se medirá el volumen teórico ejecutado según especificaciones de Proyecto, sin incluir los incrementos por excesos de excavación no autorizados.</t>
  </si>
  <si>
    <t xml:space="preserve">CAV030b</t>
  </si>
  <si>
    <t xml:space="preserve">ZUNCHO HA-25/F/20/XC2/VALLADOS</t>
  </si>
  <si>
    <t xml:space="preserve">MUROS BLOQUE H.A. para revestir
Vallados a calle
Perímetro parcela total: 1 × 289.00 × 0.40 × 0.40
Muros separación pareados
VIV 1-VIV 2: 1 × 8.35 × 0.40 × 0.40
VIV 3-VIV 4: 1 × 8.80 × 0.40 × 0.40
VIV 6-VIV 7: 1 × 8.35 × 0.40 × 0.40
VIV 8-VIV 9: 1 × 8.35 × 0.40 × 0.40
VIV 11-VIV 12: 1 × 8.70 × 0.40 × 0.40
VIV 13-VIV 14: 1 × 8.35 × 0.40 × 0.40
VIV 15-VIV 16: 1 × 8.35 × 0.40 × 0.40
MUROS BLOQUE H.A. cara vista
Separación entre viviendas
VIV 1-VIV 2: 1 × 1.90 × 0.40 × 0.40
VIV 2-VIV 3: 1 × 19.75 × 0.40 × 0.40
VIV 3-VIV 4: 1 × 1.50 × 0.40 × 0.40
VIV 4-VIV 5: 1 × 19.75 × 0.40 × 0.40
VIV 5-VIV 6: 1 × 19.75 × 0.40 × 0.40
VIV 6-VIV 7: 1 × 1.90 × 0.40 × 0.40
VIV 8-VIV 9: 1 × 3.90 × 0.40 × 0.40
VIV 9-VIV 10: 1 × 21.75 × 0.40 × 0.40
VIV 10-VIV 11: 1 × 21.75 × 0.40 × 0.40
VIV 11-VIV 12: 1 × 3.60 × 0.40 × 0.40
VIV 13-VIV 14: 1 × 3.00 × 0.40 × 0.40
VIV 14-VIV 15: 1 × 20.85 × 0.40 × 0.40
VIV 15-VIV 16: 1 × 3.00 × 0.40 × 0.40
VIV 16-PARCELA 17: 1 × 21.10 × 0.40 × 0.40
Separación viviendas-Zona común
Contención diferencia de niveles
VIV 1-VIV 2: 1 × 30.90 × 0.40 × 0.40
VIV 3-VIV 4: 1 × 28.60 × 0.40 × 0.40
VIV 5: 1 × 15.75 × 0.40 × 0.40
VIV 6-VIV 7: 1 × 28.70 × 0.40 × 0.40
1 × 20.60 × 0.40 × 0.40
VIV 8-VIV 9: 1 × 25.65 × 0.40 × 0.40
VIV 10: 1 × 14.15 × 0.40 × 0.40
VIV 11-VIV 12: 1 × 28.75 × 0.40 × 0.40
VIV 13-VIV 14: 1 × 29.90 × 0.40 × 0.40
1 × 21.00 × 0.40 × 0.40
VIV 15-VIV 16: 1 × 31.50 × 0.40 × 0.40
CASETA  APEROS: 1 × 13.45 × 0.40 × 0.40
PERÍMETRO PISCINA: 1 × 71.40 × 0.40 × 0.40</t>
  </si>
  <si>
    <t xml:space="preserve">ZUNCHO HA-25/F/20/XC2/VALLADOSZuncho de hormigón armado, realizada con hormigón HA-25/F/20/XC2 fabricado en central, y vertido con cubilote, y acero, UNE-EN 10080 B 500 S, con una cuantía aproximada de 61,8 kg/m³. Incluso alambre de atar y separadores.Criterio de valoración económica: El precio incluye la elaboración de la ferralla (corte, doblado y conformado de elementos) en taller industrial y el montaje en el lugar definitivo de su colocación en obra, pero no incluye el encofrado.Incluye: Colocación de la armadura con separadores homologados. Vertido y compactación del hormigón. Coronación y enrase. Curado del hormigón.Criterio de medición de proyecto: Volumen medido sobre las secciones teóricas de la excavación, según documentación gráfica de Proyecto.Criterio de medición de obra: Se medirá el volumen teórico ejecutado según especificaciones de Proyecto, sin incluir los incrementos por excesos de excavación no autorizados.</t>
  </si>
  <si>
    <t xml:space="preserve">ANS030</t>
  </si>
  <si>
    <t xml:space="preserve">SOLERA VENTILADA C-50 "CÁVITI" 50+5 cm</t>
  </si>
  <si>
    <t xml:space="preserve">PAREADO TIPO: 7 × 150.40
AISLADA TIPO 1 (VIVIENDA 5): 1 × 77.10
AISLADA TIPO 2 (VIVIENDA 10): 1 × 77.95</t>
  </si>
  <si>
    <t xml:space="preserve">Medidas: 750x580x500mm · Color: negro · Marca/serie: CÁVITI</t>
  </si>
  <si>
    <t xml:space="preserve">SOLERA VENTILADA C-50 "CÁVITI" 50+5 cmSolera ventilada de hormigón armado de 50+5 cm de canto, sobre encofrado perdido de piezas de polipropileno reciclado, C-50 "CÁVITI", de 750x580x500 mm, color negro, realizada con hormigón HA-25/B/12/IIa fabricado en central, y vertido con cubilote, y malla electrosoldada ME 10x10 Ø 5-5 B 500 T 6x2,20 UNE-EN 10080 como armadura de reparto, colocada sobre separadores homologados en capa de compresión de 5 cm de espesor, incluida tabica perimetral de hormigón armado de ancho máximo 15 cm y encofrado de la misma; con juntas de retracción de 5 mm de espesor, mediante corte con disco de diamante; apoyado todo ello sobre base de hormigón de limpieza (NO INCLUIDO EN ESTE PRECIO). Incluso panel de poliestireno expandido de 3 cm de espesor, para la ejecución de juntas de dilatación.</t>
  </si>
  <si>
    <t xml:space="preserve">EHU030b</t>
  </si>
  <si>
    <t xml:space="preserve">FORJADO UNIDIRECCIONAL 30 cm SEMIVIGUETA ARMADA/BOV HORMIGÓN/PILARES Y VIGAS 0,134 m³/m²</t>
  </si>
  <si>
    <t xml:space="preserve">PRIMER FORJADO (Techo de planta baja)
PAREADO TIPO: 7 × 160.60
AISLADA TIPO 1 (VIVIENDA 5): 1 × 81.55
AISLADA TIPO 2 (VIVIENDA 10): 1 × 79.40</t>
  </si>
  <si>
    <t xml:space="preserve">FORJADO UNIDIRECCIONAL 30 cm SEMIVIGUETA ARMADA/BOV HORMIGÓN/PILARES Y VIGAS 0,134 m³/m²Estructura de hormigón armado, realizada con hormigón HA-25/F/20/X0 fabricado en central, y vertido con cubilote, con un volumen total de hormigón en forjado y vigas de 0,134 m³/m², y acero, UNE-EN 10080 B 500 S, en zona de paños, vigas y zunchos, cuantía 6,4 kg/m², constituida por: FORJADO UNIDIRECCIONAL: horizontal, de canto 30 cm, intereje de 72 cm; montaje y desmontaje de sistema de encofrado continuo, con acabado tipo industrial para revestir, formado por: superficie encofrante de tableros de madera tratada, reforzados con varillas y perfiles, amortizables en 25 usos, estructura soporte horizontal de sopandas metálicas y accesorios de montaje, amortizables en 150 usos y estructura soporte vertical de puntales metálicos, amortizables en 150 usos; semivigueta armada con zapatilla de hormigón forjado unidireccional; bovedilla de hormigón; capa de compresión de 5 cm de espesor, con armadura de reparto formada por malla electrosoldada ME 20x20 Ø 5-5 B 500 T 6x2,20 UNE-EN 10080; vigas planas/descuelgue; altura libre de planta de entre 3 y 4 m. Incluye pilares de sección rectangular o cuadrada de hormigón armado, realizado con hormigón HA-25/F/20/XC1 fabricado en central, y vertido con cubilote, y acero, UNE-EN 10080 B 500 S, con una cuantía aproximada de 125,1 kg/m³, alambre de atar y separadores. Incluso agente filmógeno, para el curado de hormigones y morteros.Criterio de valoración económica: El precio incluye la elaboración de la ferralla (corte, doblado y conformado de elementos) en taller industrial y el montaje en el lugar definitivo de su colocación en obra.Incluye: Replanteo del sistema de encofrado. Montaje del sistema de encofrado. Replanteo de la geometría de la planta sobre el encofrado. Colocación de viguetas y bovedillas. Colocación de las armaduras con separadores homologados. Vertido y compactación del hormigón. Regleado y nivelación de la capa de compresión. Curado del hormigón. Desmontaje del sistema de encofrado.Criterio de medición de proyecto: Superficie medida en verdadera magnitud desde las caras exteriores de los zunchos del perímetro, según documentación gráfica de Proyecto, deduciendo los huecos de superficie mayor de 6 m².Criterio de medición de obra: Se medirá, en verdadera magnitud, desde las caras exteriores de los zunchos del perímetro, la superficie realmente ejecutada según especificaciones de Proyecto, deduciendo los huecos de superficie mayor de 6 m². Se consideran incluidos todos los elementos integrantes de la estructura señalados en los planos y detalles del Proyecto.</t>
  </si>
  <si>
    <t xml:space="preserve">EHU030</t>
  </si>
  <si>
    <t xml:space="preserve">FORJADO UNIDIRECCIONAL 30 cm SEMIVIGUETA ARMADA/BOV HORMIGÓN/PILARES Y VIGAS 0,147 m³/m²</t>
  </si>
  <si>
    <t xml:space="preserve">SEGUNDO FORJADO (Techo de planta primera)
PAREADO TIPO: 7 × 135.40
AISLADA TIPO 1 (VIVIENDA 5): 1 × 72.50
AISLADA TIPO 2 (VIVIENDA 10): 1 × 71.30</t>
  </si>
  <si>
    <t xml:space="preserve">FORJADO UNIDIRECCIONAL 30 cm SEMIVIGUETA ARMADA/BOV HORMIGÓN/PILARES Y VIGAS 0,147 m³/m²Estructura de hormigón armado, realizada con hormigón HA-25/F/20/X0 fabricado en central, y vertido con cubilote, con un volumen total de hormigón en forjado y vigas de 0,147 m³/m², y acero, UNE-EN 10080 B 500 S, en zona de paños, vigas y zunchos, cuantía 6,9 kg/m², constituida por: FORJADO UNIDIRECCIONAL: horizontal, de canto 30 cm, intereje de 72 cm; montaje y desmontaje de sistema de encofrado continuo, con acabado tipo industrial para revestir, formado por: superficie encofrante de tableros de madera tratada, reforzados con varillas y perfiles, amortizables en 25 usos, estructura soporte horizontal de sopandas metálicas y accesorios de montaje, amortizables en 150 usos y estructura soporte vertical de puntales metálicos, amortizables en 150 usos; semivigueta armada con zapatilla de hormigón forjado unidireccional; bovedilla de hormigón; capa de compresión de 5 cm de espesor, con armadura de reparto formada por malla electrosoldada ME 20x20 Ø 5-5 B 500 T 6x2,20 UNE-EN 10080; vigas planas/descuelgue; altura libre de planta de entre 3 y 4 m. Incluye pilares de sección rectangular o cuadrada de hormigón armado, realizado con hormigón HA-25/F/20/XC1 fabricado en central, y vertido con cubilote, y acero, UNE-EN 10080 B 500 S, con una cuantía aproximada de 125,1 kg/m³, alambre de atar y separadores. Incluso agente filmógeno, para el curado de hormigones y morteros.Criterio de valoración económica: El precio incluye la elaboración de la ferralla (corte, doblado y conformado de elementos) en taller industrial y el montaje en el lugar definitivo de su colocación en obra.Incluye: Replanteo del sistema de encofrado. Montaje del sistema de encofrado. Replanteo de la geometría de la planta sobre el encofrado. Colocación de viguetas y bovedillas. Colocación de las armaduras con separadores homologados. Vertido y compactación del hormigón. Regleado y nivelación de la capa de compresión. Curado del hormigón. Desmontaje del sistema de encofrado.Criterio de medición de proyecto: Superficie medida en verdadera magnitud desde las caras exteriores de los zunchos del perímetro, según documentación gráfica de Proyecto, deduciendo los huecos de superficie mayor de 6 m².Criterio de medición de obra: Se medirá, en verdadera magnitud, desde las caras exteriores de los zunchos del perímetro, la superficie realmente ejecutada según especificaciones de Proyecto, deduciendo los huecos de superficie mayor de 6 m². Se consideran incluidos todos los elementos integrantes de la estructura señalados en los planos y detalles del Proyecto.</t>
  </si>
  <si>
    <t xml:space="preserve">EHE010</t>
  </si>
  <si>
    <t xml:space="preserve">LOSA DE ESCALERA h=17 cm</t>
  </si>
  <si>
    <t xml:space="preserve">TODA LA OBRA: 16 × 7.00 × 1.00</t>
  </si>
  <si>
    <t xml:space="preserve">LOSA DE ESCALERA h=17 cmLosa de escalera de hormigón armado de 17 cm de espesor, con peldañeado de fábrica (no incluido en este precio), realizada con hormigón HA-25/F/20/XC2 fabricado en central, y vertido con cubilote, y acero UNE-EN 10080 B 500 S, con una cuantía aproximada de 20,5 kg/m²; montaje y desmontaje de sistema de encofrado, con acabado tipo industrial para revestir en su cara inferior y laterales, en planta de hasta 3 m de altura libre, formado por: superficie encofrante de tablones de madera de pino, amortizables en 10 usos, estructura soporte horizontal de tablones de madera de pino, amortizables en 10 usos y estructura soporte vertical de puntales metálicos, amortizables en 150 usos. Incluso alambre de atar, separadores y líquido desencofrante, para evitar la adherencia del hormigón al encofrado.</t>
  </si>
  <si>
    <t xml:space="preserve">CSL010</t>
  </si>
  <si>
    <t xml:space="preserve">LOSA CIMENTACIÓN C. TÉCNICO PISCINAS</t>
  </si>
  <si>
    <t xml:space="preserve">Base cuarto técnico piscinas: 1 × 21.00</t>
  </si>
  <si>
    <t xml:space="preserve">LOSA CIMENTACIÓN C. TÉCNICO PISCINASLosa de cimentación de hormigón armado, realizada con hormigón HA-25/F/20/XC2 fabricado en central, y vertido con bomba, y acero UNE-EN 10080 B 500 S, con una cuantía aproximada de 85 kg/m³; acabado superficial liso mediante regla vibrante. Incluso armaduras para formación de foso de ascensor, refuerzos, pliegues, encuentros, arranques y esperas en muros, escaleras y rampas, cambios de nivel, alambre de atar, y separadores.</t>
  </si>
  <si>
    <t xml:space="preserve">EHL010</t>
  </si>
  <si>
    <t xml:space="preserve">LOSA h= 20 cm CASETA APEROS/C TÉCNICO PISCINAS</t>
  </si>
  <si>
    <t xml:space="preserve">Forjado caseta aperos: 1 × 13.45
Forjado cuarto técnico piscinas: 1 × 21.00</t>
  </si>
  <si>
    <t xml:space="preserve">LOSA h= 20 cm CASETA APEROS/C TÉCNICO PISCINASLosa maciza de hormigón armado, horizontal, con altura libre de planta de hasta 3 m, canto 20 cm, realizada con hormigón HA-25/B/20/IIa fabricado en central, y vertido con cubilote, y acero UNE-EN 10080 B 500 S, con una cuantía aproximada de 25 kg/m²; montaje y desmontaje de sistema de encofrado continuo, con acabado tipo industrial para revestir, formado por: superficie encofrante de tableros de madera tratada, reforzados con varillas y perfiles, amortizables en 25 usos; estructura soporte horizontal de sopandas metálicas y accesorios de montaje, amortizables en 150 usos y estructura soporte vertical de puntales metálicos, amortizables en 150 usos. Incluso nervios y zunchos perimetrales de planta y huecos, alambre de atar, separadores, aplicación de líquido desencofrante y agente filmógeno para el curado de hormigones y morteros.</t>
  </si>
  <si>
    <t xml:space="preserve">CCS030b</t>
  </si>
  <si>
    <t xml:space="preserve">MURO SÓTANO HORMIGÓN ARMADO/2C 25cm HA-25/F/20/XC2</t>
  </si>
  <si>
    <t xml:space="preserve">Perímetro cuarto técnico piscinas: 1 × 18.50 × 0.25 × 2.80</t>
  </si>
  <si>
    <t xml:space="preserve">MURO SÓTANO HORMIGÓN ARMADO/2C 25cm HA-25/F/20/XC2Muro de sótano de hormigón armado encofrado a 2 caras, realizado con hormigón HA-25/F/20/XC2 fabricado en central, y vertido con bomba, y acero UNE-EN 10080 B 500 S, con una cuantía aproximada de 77,8 kg/m³(incluyendo armadura de pilares a cimentación), ejecutado por bataches, con un grado de complejidad medio, montaje y desmontaje de sistema de encofrado con acabado tipo industrial para revestir, realizado con paneles metálicos modulares, amortizables en 150 usos. Incluso alambre de atar, separadores, pasamuros para paso de los tensores y líquido desencofrante para evitar la adherencia del hormigón al encofrado. Incluso alambre de atar y separadores; cordón de polietileno expandido, para fondo de junta; masilla elastómera tixotrópica, monocomponente, aplicada con pistola desde el fondo de junta hacia fuera; y posterior revestimiento con mortero tixotrópico monocomponente, para sellado impermeabilizante de los huecos pasamuros para paso de los tensores del encofrado.Criterio de valoración económica: El precio incluye la elaboración y el montaje de la ferralla en el lugar definitivo de su colocación en obra, así como el encofrado.Incluye: Colocación de la armadura con separadores homologados. Resolución de juntas de construcción. Limpieza de la base de apoyo del muro en la cimentación. Vertido y compactación del hormigón. Curado del hormigón. Extracción de los pasamuros. Sellado de los huecos pasamuros. Reparación de defectos superficiales, si procede.Criterio de medición de proyecto: Volumen medido sobre la sección teórica de cálculo, según documentación gráfica de Proyecto, deduciendo los huecos de superficie mayor de 2 m².Criterio de medición de obra: Se medirá el volumen teórico ejecutado según especificaciones de Proyecto, deduciendo los huecos de superficie mayor de 2 m².Criterio de valoración económica: El precio incluye la elaboración y el montaje de la ferralla en el lugar definitivo de su colocación en obra, incluyendo armado de pilares y el encofrado.</t>
  </si>
  <si>
    <t xml:space="preserve">D04PS155</t>
  </si>
  <si>
    <t xml:space="preserve">SOLERA HA-25 2#200x200x5 20 cm+ENCACHADO+PVC</t>
  </si>
  <si>
    <t xml:space="preserve">PORCHE JARDÍN (pérgola posterior)
PAREADO TIPO: 14 × 23.55
AISLADA TIPO 1 (VIVIENDA 5): 1 × 24.70
AISLADA TIPO 2 (VIVIENDA 10): 1 × 22.55
ZONA COMÚN
Piscina adultos: 1 × 142.25
Piscina chapoteo: 1 × 40.25</t>
  </si>
  <si>
    <t xml:space="preserve">Medidas: 200x200x5mm</t>
  </si>
  <si>
    <t xml:space="preserve">SOLERA HA-25 2#200x200x5 20 cm+ENCACHADO+PVCSolera de 20 cm de espesor, realizada con hormigón HA-25/F/20/XC2 N/mm², tamaño máximo del árido 20 mm elaborado en central, i/vertido, colocación y armado con doble mallazo electrosoldado #200x200x5 mm, incluso p.p. de juntas, aserrado de las mismas, fratasado y encachado de piedra caliza 40/80 de 20 cm de espesor, extendido y compactado con pisón, con lámina intermedia de PVC Danopol HS de 1,5 mm. Según Codigo Estructural.</t>
  </si>
  <si>
    <t xml:space="preserve">Névola · Cubiertas · 16 viviendas</t>
  </si>
  <si>
    <t xml:space="preserve">Capítulo C.05 del proyecto de ejecución (BC3 de julio de 2026). Medición de toda la promoción y su desglose tal como viene en el proyecto. Precios del proyecto (CYPE, PEM, sin IVA), solo como referencia.</t>
  </si>
  <si>
    <t xml:space="preserve">D08PD002</t>
  </si>
  <si>
    <t xml:space="preserve">CUBIERTA PLANA NO TRANSITABLE/GRAVA</t>
  </si>
  <si>
    <t xml:space="preserve">CUBIERTAS
PAREADOS: 7 × 147.50
AISLADA TIPO 1 (VIVIENDA 5): 1 × 76.35
AISLADA TIPO 2 (VIVIENDA 10): 1 × 75.40
CASETA  APEROS: 1 × 11.20</t>
  </si>
  <si>
    <t xml:space="preserve">Medidas: 1250x600mm</t>
  </si>
  <si>
    <t xml:space="preserve">CUBIERTA PLANA NO TRANSITABLE/GRAVACubierta invertida no transitable no ventilada acabada en grava u hormigon regleado,  para zonas climáticas D/E, constituida por:1) Barrera de vapor encima de forjado con lámina de LDPE (film de polietileno baja densidad), VAPOR FLAG de SOPREMA2) Capa de hormigón celular de 8 cm de espesor medio, para formación de pendientes (mínima 2%), con tendido de regularización con mortero de cemento M5 de 2 cm de espesor. 3) Membrana impermeabilizante bicapa ADHERIDA al soporte formada por  emulsión asfáltica EMUFAL PRIMER con una dotación &gt; 300 g/m², LBM plastomérico APP con armadura de fieltro de fibra de vidrio (FV) con una flexibilidad a bajas tª = -15ºC tipo MORTERPLAS FV 3 kg designación: LBM-30-FV según UNE 104410:2013, lámina superior totalmente adherida a la inferior lámina de betún modificado plastomérico APP con armadura de fieltro de fibra de poliester (FP) con una flexibilidad a bajas tª = -15ºC tipo SOPRALENE ELITE FP 4 kg designación: LBM-40 FP según UNE 104410:2013. 4) Capa separadora de geotextil no tejido de alta tenacidad a base de polipropileno termosoldado con resistencia a la tracción de 6,5 kN/m y de resistencia al punzonamiento estático (CBR) de 1100 N con un gramage de 90 g/m² TEXXAM 700. 5) Capa de aislamiento térmico formada por planchas de poliestireno extruido de dimensiones 1250x600 mm con juntas a media madera de resistencia a la compresión de 300 KPa, conductividad térmica Lambda 0,036 W/mºK y de espesor 100 mm tipo XPS SL 100 instalada encajando las juntas a media madera para evitar puentes térmicos. Cumple para las zonas climáticas D/E. (NO INCLUIDO EN ESTE PRECIO) 6) Capa separadora antipunzonante de geotextil no tejido de alta tenacidad a base de polipropileno termosoldado con resistencia a la tracción de  12,5 kN/m y de resistencia al punzonamiento estático (CBR) de 2250 N con un gramaje de 150 g/m² TEXXAM 1500.7) Capa de gravilla de canto rodado de 6 cm de espesor.</t>
  </si>
  <si>
    <t xml:space="preserve">QAB010b</t>
  </si>
  <si>
    <t xml:space="preserve">CUBIERTA PLANA TRANSITABLE/SOLADO FIJO</t>
  </si>
  <si>
    <t xml:space="preserve">TERRAZAS P PRIMERA
PAREADOS: 14 × 9.00
AISLADA TIPO 1 (VIVIENDA 5): 1 × 9.00
AISLADA TIPO 2 (VIVIENDA 10): 1 × 8.10</t>
  </si>
  <si>
    <t xml:space="preserve">Medidas: 1250x600mm · Color: gris</t>
  </si>
  <si>
    <t xml:space="preserve">CUBIERTA PLANA TRANSITABLE/SOLADO FIJOCubierta invertida no transitable no ventilada acabada en grava u hormigon regleado,  para zonas climáticas D/E, constituida por:1) Barrera de vapor encima de forjado con lámina de LDPE (film de polietileno baja densidad), VAPOR FLAG de SOPREMA2) Capa de aislamiento térmico formada por planchas de poliestireno extruido de dimensiones 1250x600 mm con juntas a media madera de resistencia a la compresión de 300 KPa, conductividad térmica Lambda 0,036 W/mºK y de espesor 100 mm tipo XPS SL 100 instalada encajando las juntas a media madera para evitar puentes térmicos. Cumple para las zonas climáticas D/E.(NO INCLUIDO EN ESTE PRECIO)  3) Capa de hormigón celular de 8 cm de espesor medio, para formación de pendientes (mínima 2%), con tendido de regularización con mortero de cemento M5 de 2 cm de espesor. 4) Capa separadora de geotextil no tejido de alta tenacidad a base de polipropileno termosoldado con resistencia a la tracción de 6,5 kN/m y de resistencia al punzonamiento estático (CBR) de 1100 N con un gramage de 90 g/m² TEXXAM 700. 5) Impermeabilización bajo revestimiento cerámico o pétreo, en paramento horizontal en terrazas, con lámina impermeabilizante flexible de polietileno, con ambas caras revestidas de geotextil no tejido, kerdi o similar, de 0,5 mm de espesor y 285 g/m², fijada al soporte con adhesivo cementoso mejorado, C2 TE S1, según UNE-EN 12004, deformable, con deslizamiento reducido y tiempo abierto ampliado, color gris, a base de cemento, áridos de granulometría fina, resinas sintéticas y aditivos especiales. Incluso complementos de refuerzo en tratamiento de puntos singulares con banda de refuerzo de polietileno, con ambas caras revestidas de geotextil no tejido, de 120 mm de anchura y de 0,7 mm de espesor; y mortero cementoso impermeabilizante flexible bicomponente, de color gris.6) Capa de protección: baldosas de gres porcelánico en formato comercial colocadas en capa fina con adhesivo cementoso de fraguado normal, C1 gris.(NO INCLUIDO EN ESTE PRECIO)</t>
  </si>
  <si>
    <t xml:space="preserve">QAB010bb</t>
  </si>
  <si>
    <t xml:space="preserve">C TÉCNICO PISCINAS: 1 × 21.00</t>
  </si>
  <si>
    <t xml:space="preserve">Color: gris</t>
  </si>
  <si>
    <t xml:space="preserve">CUBIERTA PLANA TRANSITABLE/SOLADO FIJOCubierta invertida no transitable no ventilada acabada en grava u hormigon regleado,  para zonas climáticas D/E, constituida por:1) Barrera de vapor encima de forjado con lámina de LDPE (film de polietileno baja densidad), VAPOR FLAG de SOPREMA 2) Capa de hormigón celular de 8 cm de espesor medio, para formación de pendientes (mínima 2%), con tendido de regularización con mortero de cemento M5 de 2 cm de espesor. 3) Capa separadora de geotextil no tejido de alta tenacidad a base de polipropileno termosoldado con resistencia a la tracción de 6,5 kN/m y de resistencia al punzonamiento estático (CBR) de 1100 N con un gramage de 90 g/m² TEXXAM 700. 4) Impermeabilización bajo revestimiento cerámico o pétreo, en paramento horizontal en terrazas, con lámina impermeabilizante flexible de polietileno, con ambas caras revestidas de geotextil no tejido, kerdi o similar, de 0,5 mm de espesor y 285 g/m², fijada al soporte con adhesivo cementoso mejorado, C2 TE S1, según UNE-EN 12004, deformable, con deslizamiento reducido y tiempo abierto ampliado, color gris, a base de cemento, áridos de granulometría fina, resinas sintéticas y aditivos especiales. Incluso complementos de refuerzo en tratamiento de puntos singulares con banda de refuerzo de polietileno, con ambas caras revestidas de geotextil no tejido, de 120 mm de anchura y de 0,7 mm de espesor; y mortero cementoso impermeabilizante flexible bicomponente, de color gris.5) Capa de protección: baldosas de gres porcelánico en formato comercial colocadas en capa fina con adhesivo cementoso de fraguado normal, C1 gris.(NO INCLUIDO EN ESTE PRECIO)</t>
  </si>
  <si>
    <t xml:space="preserve">Névola · Albañilería · 16 viviendas</t>
  </si>
  <si>
    <t xml:space="preserve">Capítulo C.06 del proyecto de ejecución (BC3 de julio de 2026). Medición de toda la promoción y su desglose tal como viene en el proyecto. Precios del proyecto (CYPE, PEM, sin IVA), solo como referencia.</t>
  </si>
  <si>
    <t xml:space="preserve">504</t>
  </si>
  <si>
    <t xml:space="preserve">HOJA EXTERIOR DE FACHADA, 1/2 PIE, DE LADRILLO CERÁMICO PERFORADO TOSCO</t>
  </si>
  <si>
    <t xml:space="preserve">PAREADO TIPO
Planta baja: 14 × 27.50 × 3.25
Planta primera: 14 × 27.00 × 3.15
Separación viviendas planta baja: 7 × 9.50 × 2.95
Separación viviendas planta primera: 7 × 10.10 × 2.85
-A descontar &gt; 4.00 m²
PE2: -14 × 2.80 × 2.20
PE3: -14 × 1.90 × 2.20
PE4: -14 × 2.80 × 2.10
AISLADO TIPO 1 (VIVIENDA 5)
Planta baja: 1 × 37.25 × 3.25
Planta primera: 1 × 38.05 × 3.15
-A descontar &gt; 4.00 m²
PE2: -1 × 2.80 × 2.20
PE3: -1 × 1.90 × 2.20
PE4: -1 × 2.80 × 2.10
AISLADO TIPO 2 (VIVIENDA 10)
Planta baja: 1 × 37.75 × 3.25
Planta primera: 1 × 37.65 × 3.15
-A descontar &gt; 4.00 m²
PE2: -1 × 2.80 × 2.20
PE3: -1 × 1.90 × 2.20
PE4: -1 × 2.80 × 2.10
Separación productos químicos piscina: 1 × 3.20 × 2.50</t>
  </si>
  <si>
    <t xml:space="preserve">Medidas: 24x11x5cm · Color: gris</t>
  </si>
  <si>
    <t xml:space="preserve">HOJA EXTERIOR DE FACHADA, 1/2 PIE, DE LADRILLO CERÁMICO PERFORADO TOSCOEjecución de hoja exterior de 11 cm de espesor de fábrica, en cerramiento de fachada, de ladrillo cerámico perforado (tosco), para revestir, 24x11x5 cm, recibida con mortero de cemento industrial, color gris, M-5, suministrado a granel. Incluso p/p de replanteo, nivelación y aplomado, mermas y roturas, enjarjes, revestimiento de los frentes de forjado con piezas cerámicas, colocadas con mortero de alta adherencia, formación de dinteles mediante vigueta prefabricada T-18, revestida con piezas cerámicas, colocadas con mortero de alta adherencia, jambas y mochetas, ejecución de encuentros y puntos singulares y limpieza.</t>
  </si>
  <si>
    <t xml:space="preserve">504b</t>
  </si>
  <si>
    <t xml:space="preserve">HOJA EXTERIOR DE FACHADA, 1 PIE, DE LADRILLO CERÁMICO PERFORADO TOSCO</t>
  </si>
  <si>
    <t xml:space="preserve">PETOS
PAREADO TIPO
Petos cubierta: 7 × 54.00 × 0.60
Petos terraza: 14 × 7.15 × 0.30
AISLADO TIPO 1 (VIVIENDA 5)
Petos cubierta: 1 × 38.05 × 0.60
Petos terraza: 1 × 7.15 × 0.30
AISLADO TIPO 2 (VIVIENDA 10)
Petos cubierta: 1 × 37.65 × 0.60
Petos terraza: 1 × 6.60 × 0.30</t>
  </si>
  <si>
    <t xml:space="preserve">HOJA EXTERIOR DE FACHADA, 1 PIE, DE LADRILLO CERÁMICO PERFORADO TOSCOEjecución de hoja exterior de 24 cm de espesor de fábrica, en cerramiento de fachada, de ladrillo cerámico perforado (tosco), para revestir, 24x11x5 cm, recibida con mortero de cemento industrial, color gris, M-5, suministrado a granel. Incluso p/p de replanteo, nivelación y aplomado, mermas y roturas, enjarjes, revestimiento de los frentes de forjado con piezas cerámicas, colocadas con mortero de alta adherencia, formación de dinteles mediante vigueta prefabricada T-18, revestida con piezas cerámicas, colocadas con mortero de alta adherencia, jambas y mochetas, ejecución de encuentros y puntos singulares y limpieza.</t>
  </si>
  <si>
    <t xml:space="preserve">312</t>
  </si>
  <si>
    <t xml:space="preserve">DINTEL VIGUETA T-18</t>
  </si>
  <si>
    <t xml:space="preserve">PAREADO TIPO
PE1: 14 × 1.00 × 2.00
PE2: 14 × 1.00 × 3.30
PE3: 14 × 1.00 × 2.40
PE4: 14 × 1.00 × 3.30
V1: 14 × 1.00 × 1.20
V2: 14 × 1.00 × 1.35
V3: 14 × 2.00 × 2.00
V4: 14 × 1.00 × 2.00
V5: 14 × 1.00 × 1.20
V6: 14 × 1.00 × 1.20
AISLADAS (VIVIENDA 5-10)
PE1: 2 × 1.00 × 2.00
PE2: 2 × 1.00 × 3.30
PE3: 2 × 1.00 × 2.40
PE4: 2 × 1.00 × 3.30
V1: 2 × 1.00 × 1.20
V2: 2 × 1.00 × 1.35
V3: 2 × 2.00 × 2.00
V4: 2 × 1.00 × 2.00
V5: 2 × 1.00 × 1.20
V6: 2 × 1.00 × 1.20
V7: 2 × 1.00 × 1.25
F1: 2 × 1.00 × 1.40
PUERTA APEROS: 1 × 1.00 × 1.50</t>
  </si>
  <si>
    <t xml:space="preserve">DINTEL VIGUETA T-18Vigueta autorresistente de hormigón pretensado T-18 de hasta 4,00 m de longitud, apoyada sobre capa de mortero de cemento, industrial, M-7,5, de 2 cm de espesor, con revestimiento de ladrillo cerámico en ambas caras; para la formación de dintel en hueco de muro de fábrica. Incluso p/p de replanteo, nivelación y aplomado, y limpieza.</t>
  </si>
  <si>
    <t xml:space="preserve">505</t>
  </si>
  <si>
    <t xml:space="preserve">ENFOSCADO DE CEMENTO</t>
  </si>
  <si>
    <t xml:space="preserve">-CÁMARAS
PAREADO TIPO
Planta baja: 14 × 27.50 × 3.25
Planta primera: 14 × 27.00 × 3.15
Separación viviendas planta baja: 14 × 9.50 × 2.95
Separación viviendas planta primera: 14 × 10.10 × 2.85
-A descontar &gt; 4.00 m²
PE2: -14 × 2.80 × 2.20
PE3: -14 × 1.90 × 2.20
PE4: -14 × 2.80 × 2.10
AISLADO TIPO 1 (VIVIENDA 5)
Planta baja: 1 × 37.25 × 3.25
Planta primera: 1 × 38.05 × 3.15
-A descontar &gt; 4.00 m²
PE2: -1 × 2.80 × 2.20
PE3: -1 × 1.90 × 2.20
PE4: -1 × 2.80 × 2.10
AISLADO TIPO 2 (VIVIENDA 10)
Planta baja: 1 × 37.75 × 3.25
Planta primera: 1 × 37.65 × 3.15
-A descontar &gt; 4.00 m²
PE2: -1 × 2.80 × 2.20
PE3: -1 × 1.90 × 2.20
PE4: -1 × 2.80 × 2.10
APLACADO FACHADAS
PAREADO TIPO
Fachada principal: 14 × 17.50
Fachada posterior: 14 × 3.80
Fachada lateral: 14 × 2.25
Rodapié fachada p baja: 14 × 28.10 × 0.20
Rodapié fachada terraza p primera: 14 × 7.15 × 0.20
AISLADA TIPO 1 (VIVIENDA 5)
Fachada principal: 1 × 16.40
Fachada posterior: 1 × 3.80
Fachada lateral derecha: 1 × 2.25
Fachada lateral izquierda: 1 × 2.25
Rodapié fachada p baja: 1 × 41.10 × 0.20
Rodapié fachada terraza p primera: 1 × 7.15 × 0.20
AISLADA TIPO 2 (VIVIENDA 10)
Fachada principal: 1 × 16.40
Fachada posterior: 1 × 4.40
Fachada lateral derecha: 1 × 2.25
Fachada lateral izquierda: 1 × 2.25
Rodapié fachada p baja: 1 × 41.55 × 0.20
Rodapié fachada terraza p primera: 1 × 6.60 × 0.20
Separación cuarto productos químicos: 2 × 3.20 × 2.50</t>
  </si>
  <si>
    <t xml:space="preserve">ENFOSCADO DE CEMENTO Formación de revestimiento continuo de mortero de cemento, tipo GP CSIII W1, a buena vista, de 15 mm de espesor, aplicado sobre un paramento vertical interior, en el trasdós de la hoja exterior de fachada con cámara de aire, hasta 3 m de altura, acabado superficial rugoso. Incluso p/p de preparación de la superficie soporte, formación de juntas, rincones, maestras con separación entre ellas no superior a tres metros, remates en los encuentros con paramentos, revestimientos u otros elementos recibidos en su superficie.</t>
  </si>
  <si>
    <t xml:space="preserve">RQO020</t>
  </si>
  <si>
    <t xml:space="preserve">MORTERO MONOCAPA</t>
  </si>
  <si>
    <t xml:space="preserve">PAREADO TIPO
Planta baja: 14 × 27.50 × 3.25
Planta primera: 14 × 27.00 × 3.15
Petos cubierta (int y ext): 7 × 54.00 × 2.00 × 0.60
Petos terraza (int y ext): 14 × 7.15 × 2.00 × 0.30
-A descontar &gt; 4.00 m² (aplacados + huecos)
Fachada principal: -14 × 22.55
Fachada posterior: -14 × 12.30
AISLADO TIPO 1 (VIVIENDA 5)
Planta baja: 1 × 37.25 × 3.25
Planta primera: 1 × 38.05 × 3.15
Petos cubierta (int y ext): 1 × 38.05 × 2.00 × 0.60
Petos terraza (int y ext): 1 × 7.15 × 2.00 × 0.30
-A descontar &gt; 4.00 m² (aplacados + huecos)
Fachada principal: -1 × 22.55
Fachada posterior: -1 × 12.30
AISLADO TIPO 2 (VIVIENDA 10)
Planta baja: 1 × 37.75 × 3.25
Planta primera: 1 × 37.65 × 3.15
Petos cubierta (int y ext): 1 × 37.65 × 2.00 × 0.60
Petos terraza (int y ext): 1 × 6.60 × 2.00 × 0.30
-A descontar &gt; 4.00 m² (aplacados + huecos)
Fachada principal: -1 × 22.55
Fachada posterior: -1 × 16.20
VALLADOS (a calle y separación pareados)
VIV 1: 2 × 4.60 × 2.00
1 × 6.15 × 1.00
VIV 2: 2 × 3.60 × 2.00
1 × 8.45 × 1.00
VIV 3: 2 × 3.60 × 2.00
1 × 9.50 × 1.00
VIV 4: 2 × 3.90 × 2.00
1 × 8.05 × 1.00
VIV 5: 2 × 3.00 × 2.00
1 × 8.20 × 1.00
VIV 6: 2 × 3.00 × 2.00
1 × 8.10 × 1.00
VIV 7: 2 × 4.60 × 2.00
1 × 9.75 × 1.00
VIV 8: 2 × 3.90 × 2.00
1 × 27.25 × 1.00
VIV 9: 2 × 3.60 × 2.00
1 × 5.60 × 1.00
VIV 10: 2 × 3.20 × 2.00
1 × 6.90 × 1.00
VIV 11: 2 × 3.20 × 2.00
1 × 6.40 × 1.00
VIV 12: 2 × 3.90 × 2.00
1 × 23.40 × 1.00
VIV 13: 2 × 3.65 × 2.00
1 × 6.50 × 1.00
VIV 14: 2 × 3.60 × 2.00
1 × 6.60 × 1.00
VIV 15: 2 × 3.60 × 2.00
1 × 6.60 × 1.00
VIV 16: 2 × 3.65 × 2.00
1 × 6.00 × 1.00
Incremento jambas
16 × 0.80 × 2.00
7 × 0.80 × 1.00
9 × 1.20 × 1.00
Muros separación pareados
VIV 1-VIV 2: 2 × 8.35 × 2.00
VIV 3-VIV 4: 2 × 8.80 × 2.00
VIV 6-VIV 7: 2 × 8.35 × 2.00
VIV 8-VIV 9: 2 × 8.35 × 2.00
VIV 11-VIV 12: 2 × 8.70 × 2.00
VIV 13-VIV 14: 2 × 8.35 × 2.00
VIV 15-VIV 16: 2 × 8.35 × 2.00</t>
  </si>
  <si>
    <t xml:space="preserve">Color: Blanco</t>
  </si>
  <si>
    <t xml:space="preserve">MORTERO MONOCAPAFormación en fachadas de revestimiento continuo de 12 mm de espesor, impermeable al agua de lluvia, con mortero monocapa hidrófobo de red tridimensional, para la impermeabilización y decoración de fachadas, tipo OC CSIII W2, según UNE-EN 998-1, acabado raspado, color Blanco, compuesto de cemento y cargas minerales, aditivado en masa con polímeros. Aplicado manualmente sobre una superficie de ladrillo cerámico, ladrillo o bloque de hormigón o bloque de termoarcilla. Incluso p/p de preparación de la superficie soporte, colocación de malla de fibra de vidrio antiálcalis para refuerzo de encuentros entre materiales diferentes y en los frentes de forjado, en un 20% de la superficie del paramento, formación de juntas, rincones, maestras, aristas, mochetas, jambas y dinteles y remates en los encuentros con paramentos, revestimientos u otros elementos recibidos en su superficie.Incluye: Preparación de la superficie soporte. Despiece de los paños de trabajo. Aristado y realización de juntas. Colocación de malla para armar mortero. Preparación del mortero monocapa. Aplicación del mortero monocapa. Regleado y alisado del revestimiento. Acabado superficial. Repasos y limpieza final.Criterio de medición de proyecto: Superficie medida según documentación gráfica de Proyecto, deduciendo los huecos de superficie mayor de 3 m² e incluyendo el desarrollo de las mochetas.Criterio de medición de obra: Se medirá la superficie realmente ejecutada según especificaciones de Proyecto, deduciendo los huecos de superficie mayor de 3 m² e incluyendo el desarrollo de las mochetas.</t>
  </si>
  <si>
    <t xml:space="preserve">HYO020</t>
  </si>
  <si>
    <t xml:space="preserve">PELDAÑEADO ESCALERAS</t>
  </si>
  <si>
    <t xml:space="preserve">ESCALERAS INTERIORES
TODA LA OBRA: 16 × 21.00 × 1.00</t>
  </si>
  <si>
    <t xml:space="preserve">PELDAÑEADO ESCALERASFormación de peldañeado de escalera con ladrillo cerámico hueco recibido con mortero de cemento, industrial, M-5, sobre la losa o bóveda de escalera, como base para la posterior colocación del acabado de peldaños.</t>
  </si>
  <si>
    <t xml:space="preserve">HEC030</t>
  </si>
  <si>
    <t xml:space="preserve">PREMARCOS CARPINTERÍA INTERIOR</t>
  </si>
  <si>
    <t xml:space="preserve">Carpintería interior (TODA LA OBRA): 16 × 8.00</t>
  </si>
  <si>
    <t xml:space="preserve">PREMARCOS CARPINTERÍA INTERIORSuministro, colocación y fijación de precerco de madera de pino, durante la ejecución del tabique y antes de colocar el pavimento, con tornillería al entramado autoportante del tabique de placas, para fijar posteriormente, sobre él, el marco de la carpintería de hasta 2 m² de superficie.</t>
  </si>
  <si>
    <t xml:space="preserve">HEC010</t>
  </si>
  <si>
    <t xml:space="preserve">PREMARCOS CARPINTERÍA EXTERIOR</t>
  </si>
  <si>
    <t xml:space="preserve">PAREADO TIPO: 14 × 11.00
AISLADA TIPO 1(VIVIENDA 5): 1 × 13.00
AISLADA TIPO 2(VIVIENDA 10): 1 × 13.00
CASETA  APEROS: 1 × 1.00</t>
  </si>
  <si>
    <t xml:space="preserve">Medidas: 50x20x1,5mm</t>
  </si>
  <si>
    <t xml:space="preserve">PREMARCOS CARPINTERÍA EXTERIORSuministro, colocación y fijación de premarco de aluminio, de 50x20x1,5 mm, ensamblado mediante escuadras y con tornillos de fijación, para fijar posteriormente, sobre él, el marco de la carpintería exterior hasta 6 m² de superficie.</t>
  </si>
  <si>
    <t xml:space="preserve">518</t>
  </si>
  <si>
    <t xml:space="preserve">FORRADO CHIMENEAS</t>
  </si>
  <si>
    <t xml:space="preserve">Chimeneas: 16</t>
  </si>
  <si>
    <t xml:space="preserve">FORRADO CHIMENEASFormación de fábrica de ladrillo cerámico perforado tosco, de hasta 0,65 m² de sección y 1,5 m de altura dimensiones máximas, recibida con mortero de cemento, industrial, M-5, para forrado de conductos de instalaciones situados en cubierta plana/inclinada. Incluso p/p de mermas y roturas, enjarjes y ejecución de encuentros y puntos singulares.</t>
  </si>
  <si>
    <t xml:space="preserve">519</t>
  </si>
  <si>
    <t xml:space="preserve">AYUDA ALBAÑILERÍA FONTANERÍA VIV.UNIFAMILIAR</t>
  </si>
  <si>
    <t xml:space="preserve">16</t>
  </si>
  <si>
    <t xml:space="preserve">AYUDA ALBAÑILERÍA FONTANERÍA VIV.UNIFAMILIARAyuda, por vivienda unifamiliar, de cualquier trabajo de albañilería, prestada para la correcta ejecución de las instalaciones de fontanería, i/porcentaje estimado para pequeño material, medios auxiliares.</t>
  </si>
  <si>
    <t xml:space="preserve">520</t>
  </si>
  <si>
    <t xml:space="preserve">AYUDA ALBAÑILERÍA ELECTRICIDAD VIV.UNIFAMILIAR</t>
  </si>
  <si>
    <t xml:space="preserve">AYUDA ALBAÑILERÍA ELECTRICIDAD VIV.UNIFAMILIARAyuda, por vivienda unifamiliar, de cualquier trabajo de albañilería, prestada para la correcta ejecución de las instalaciones de electricidad, i/porcentaje estimado para pequeño material, medios auxiliares.</t>
  </si>
  <si>
    <t xml:space="preserve">521</t>
  </si>
  <si>
    <t xml:space="preserve">AYUDA ALBAÑILERÍA CALEFACCIÓN VIV.UNIFAMILIAR</t>
  </si>
  <si>
    <t xml:space="preserve">AYUDA ALBAÑILERÍA CALEFACCIÓN VIV.UNIFAMILIARAyuda, por vivienda unifamiliar, de cualquier trabajo de albañilería, necesaria para la correcta ejecución de las instalaciones de climatización, i/porcentaje estimado para pequeño material, medios auxiliares.</t>
  </si>
  <si>
    <t xml:space="preserve">Névola · Impermeabilización y aislamiento · 16 viviendas</t>
  </si>
  <si>
    <t xml:space="preserve">Capítulo C.07 del proyecto de ejecución (BC3 de julio de 2026). Medición de toda la promoción y su desglose tal como viene en el proyecto. Precios del proyecto (CYPE, PEM, sin IVA), solo como referencia.</t>
  </si>
  <si>
    <t xml:space="preserve">NHB020</t>
  </si>
  <si>
    <t xml:space="preserve">BARRERA ANTICAPILARIDAD</t>
  </si>
  <si>
    <t xml:space="preserve">ARRANQUE MUROS DE FÁBRICA
PAREADO TIPO: 7 × 64.35
AISLADA TIPO 1 (VIVIENDA 5): 1 × 37.30
AISLADA TIPO 2 (VIVIENDA 10): 1 × 37.75</t>
  </si>
  <si>
    <t xml:space="preserve">BARRERA ANTICAPILARIDADBarrera anticapilaridad en arranque de muro de fábrica, de 25 cm de espesor, con lámina impermeabilizante autoadhesiva de betún modificado con elastómero (SBS), LBA-15-PE, con armadura de film de polietileno de 95 g/m² que actúa como autoprotección superior y plástico desechable siliconado en la cara inferior, de superficie no protegida, colocada con solapes sobre una capa de regularización de mortero de cemento, industrial, con aditivo hidrófugo, M-5, previa imprimación con emulsión asfáltica de base acuosa y posterior aplicación de capa de protección de mortero de cemento, industrial, con aditivo hidrófugo, M-5.</t>
  </si>
  <si>
    <t xml:space="preserve">2000b</t>
  </si>
  <si>
    <t xml:space="preserve">IMPERMEABILIZACIÓN SUMIDEROS CUBIERTA NO TRANSITABLE</t>
  </si>
  <si>
    <t xml:space="preserve">CUBIERTAS (Viviendas): 16 × 2.00
CASETA  APEROS: 1 × 1.00</t>
  </si>
  <si>
    <t xml:space="preserve">IMPERMEABILIZACIÓN SUMIDEROS CUBIERTA NO TRANSITABLEEjecución de encuentro de cubierta plana no transitable, no ventilada, con grava, tipo convencional con sumidero de salida vertical, realizando un rebaje en el soporte alrededor del sumidero, en el que se recibirá la impermeabilización formada por: pieza de refuerzo de lámina de betún modificado con elastómero SBS, LBM(SBS)-40-FP, con armadura de fieltro de poliéster no tejido de 160 g/m², de superficie no protegida, totalmente adherida al soporte con soplete, previa imprimación con emulsión asfáltica aniónica con cargas tipo EB, y colocación de sumidero de caucho EPDM, de salida vertical, de 90 mm de diámetro, con rejilla alta de polietileno, íntegramente adherido a la pieza de refuerzo anterior con soplete.</t>
  </si>
  <si>
    <t xml:space="preserve">QAF030</t>
  </si>
  <si>
    <t xml:space="preserve">IMPERMEABILIZACIÓN SUMIDEROS CUBIERTA TRANSITABLE</t>
  </si>
  <si>
    <t xml:space="preserve">TERRAZAS P PRIMERA (Toda la Obra): 16 × 2.00</t>
  </si>
  <si>
    <t xml:space="preserve">IMPERMEABILIZACIÓN SUMIDEROS CUBIERTA TRANSITABLEEjecución de encuentro de cubierta plana transitable, no ventilada, con solado fijo, tipo convencional con sumidero de salida vertical, realizando un rebaje en el soporte alrededor del sumidero, en el que se recibirá la impermeabilización formada por: pieza de refuerzo de lámina de betún modificado con elastómero SBS, LBM(SBS)-40-FP, con armadura de fieltro de poliéster no tejido de 160 g/m², de superficie no protegida, totalmente adherida al soporte con soplete, previa imprimación con emulsión asfáltica aniónica con cargas tipo EB, y colocación de sumidero de caucho EPDM, de salida vertical, de 80 mm de diámetro, con rejilla plana de caucho EPDM, íntegramente adherido a la pieza de refuerzo anterior con soplete.</t>
  </si>
  <si>
    <t xml:space="preserve">QAF020</t>
  </si>
  <si>
    <t xml:space="preserve">ENCUENTRO PETO/CUBIERTA NO TRANSITABLE</t>
  </si>
  <si>
    <t xml:space="preserve">CUBIERTAS
PAREADO TIPO: 7 × 54.00
AISLADA TIPO 1 (VIVIENDA 5): 1 × 38.05
AISLADA TIPO 2 (VIVIENDA 5): 1 × 37.65
CASETA  APEROS: 1 × 13.45</t>
  </si>
  <si>
    <t xml:space="preserve">ENCUENTRO PETO/CUBIERTA NO TRANSITABLEEncuentro de paramento vertical con cubierta plana no transitable, no ventilada, con grava, tipo convencional; mediante retranqueo perimetral, para la protección de la impermeabilización formada por: banda de refuerzo de 50 cm de anchura, de lámina de betún modificado con elastómero SBS, LBM(SBS)-40-FP, totalmente adherida al soporte con soplete, previa imprimación con emulsión asfáltica aniónica con cargas tipo EB y banda de terminación de 50 cm de desarrollo con lámina de betún modificado con elastómero SBS, LBM(SBS)-40-FP; acabado con mortero de cemento M-2,5.</t>
  </si>
  <si>
    <t xml:space="preserve">QAF020b</t>
  </si>
  <si>
    <t xml:space="preserve">ENCUENTRO PETO/CUBIERTA TRANSITABLE</t>
  </si>
  <si>
    <t xml:space="preserve">TERRAZAS (incluido en cubierta transitable)
PAREADO TIPO: 14 × 14.25
AISLADA TIPO 1 (VIVIENDA 5): 1 × 14.25
AISLADA TIPO 2 (VIVIENDA 10): 1 × 13.20</t>
  </si>
  <si>
    <t xml:space="preserve">ENCUENTRO PETO/CUBIERTA TRANSITABLEEncuentro de paramento vertical con cubierta plana transitable, no ventilada, con solado fijo, tipo convencional; mediante retranqueo perimetral, para la protección de la impermeabilización formada por: banda de refuerzo de 50 cm de anchura, de lámina de betún modificado con elastómero SBS, LBM(SBS)-40-FP, totalmente adherida al soporte con soplete, previa imprimación con emulsión asfáltica aniónica con cargas tipo EB y banda de terminación de 50 cm de desarrollo con lámina de betún modificado con elastómero SBS, LBM(SBS)-40-FP; acabado con mortero de cemento M-2,5 y rodapié (no incluido en este precio).</t>
  </si>
  <si>
    <t xml:space="preserve">403</t>
  </si>
  <si>
    <t xml:space="preserve">IMP.MUROS LÁM.ASFÁLT.+LAM.DREN.</t>
  </si>
  <si>
    <t xml:space="preserve">Cuarto técnico piscinas: 1 × 18.40 × 3.50</t>
  </si>
  <si>
    <t xml:space="preserve">IMP.MUROS LÁM.ASFÁLT.+LAM.DREN.Impermeabilización de muros de cimentación por su cara externa, constituida por: imprimación asfáltica, Impridan 100; banda de refuerzo Esterdan 30 P elastómero; lámina asfáltica de betún elastómero Esterdan 30 P elastómero, (tipo LMB-30-FP) de poliéster (fieltro no tejido de 160 gr/m2), totalmente adherida al muro con soplete; geotextil y para protección, lámina drenante nodular de polietileno de alta densidad (PEAD/HDPE), con nódulos de 8 mm de altura, resistencia a la compresión 150 kN/m² según UNE-EN ISO 604, capacidad de drenaje 5 l/(s·m) y masa nominal 0,5 kg/m²; sujeta al paramento vertical mediante fijaciones mecánicas (2 ud/m²), con los nódulos contra el muro previamente impermeabilizado. Incluso p/p de limpieza y preparación de la superficie, solapes horizontales y verticales, remates de esquinas y rincones y colocación de perfil metálico de remate superior (0,3 m/m²).</t>
  </si>
  <si>
    <t xml:space="preserve">NIH010</t>
  </si>
  <si>
    <t xml:space="preserve">IMPERMEABILIZACIÓN LOCALES HÚMEDOS/HUECOS EXTERIORES</t>
  </si>
  <si>
    <t xml:space="preserve">DUCHAS (TODA LA OBRA)
Baño 1: 16 × 7.40
Baño principal: 16 × 8.00
HUECOS EXTERIORES (TODA LA OBRA)
PE2: 16 × 1.00 × 2.80 × 0.50
PE3: 16 × 1.00 × 1.90 × 0.50
PE4: 16 × 1.00 × 2.80 × 0.50
V1: 16 × 1.00 × 0.70 × 0.50
V2: 16 × 1.00 × 0.85 × 0.50
V3: 16 × 2.00 × 1.50 × 0.50
V4: 16 × 1.00 × 1.50 × 0.50
V5: 16 × 1.00 × 0.70 × 0.50
V6: 16 × 1.00 × 0.70 × 0.50
V7: 2 × 1.00 × 0.75 × 0.50
F1: 2 × 1.00 × 0.90 × 0.50</t>
  </si>
  <si>
    <t xml:space="preserve">MPERMEABILIZACIÓN LOCALES HÚMEDOS/HUECOS EXTERIORESImpermeabilización bajo revestimiento cerámico o pétreo, en paramentos verticales y horizontales de locales húmedos, con lámina impermeabilizante flexible de polietileno, con ambas caras revestidas de geotextil no tejido, kerdi o similar, de 0,5 mm de espesor y 285 g/m², fijada al soporte con adhesivo cementoso mejorado, C2 TE S1, según UNE-EN 12004, deformable, con deslizamiento reducido y tiempo abierto ampliado, color gris, a base de cemento, áridos de granulometría fina, resinas sintéticas y aditivos especiales. Incluso complementos de refuerzo en tratamiento de puntos singulares con banda de refuerzo de polietileno, con ambas caras revestidas de geotextil no tejido, de 120 mm de anchura y de 0,7 mm de espesor; y mortero cementoso impermeabilizante flexible bicomponente, de color gris.</t>
  </si>
  <si>
    <t xml:space="preserve">D16ATA015</t>
  </si>
  <si>
    <t xml:space="preserve">AISL FRENTES FORJAD PINTURA TERMOAISLANTE TECNOL TQ-I-TERMIC</t>
  </si>
  <si>
    <t xml:space="preserve">Tratamiento puente térmico de los forjados
PRIMER FORJADO
PAREADO TIPO: 7 × 53.25 × 0.80
AISLADA TIPO 1 (VIVIENDA 5): 1 × 37.30 × 0.80
AISLADA TIPO 2 (VIVIENDA 10): 1 × 36.80 × 0.80
SEGUNDO FORJADO
PAREADO TIPO: 7 × 49.95 × 0.80
AISLADA TIPO 1 (VIVIENDA 5): 1 × 37.20 × 0.80
AISLADA TIPO 2 (VIVIENDA 10): 1 × 36.80 × 0.80</t>
  </si>
  <si>
    <t xml:space="preserve">AISL FRENTES FORJAD PINTURA TERMOAISLANTE TECNOL TQ-I-TERMICImprimación de lámina acrílica impermeabilizante con propiedades termoacústicas para rotura de puentes térmicos en pilares integrados en fachada (aislados por su cara exterior), tipo I-Termic de Tecnol o similar con microburbujas de vidrio con una conductividad térmica de 0,17 W/m*K. Se aplicará con brocha y rodillo en varias capas según prestaciones deseadas, consumo aproximado de 200 a 250 gr por capa según absorción del soporte. Incluso p.p. de medios auxiliares y limpieza, totalmente terminado. Adecuado principalmente para colocar posteriormente aplacados que no necesiten estar pegados al aislamiento ( cerámica, ladrillos...). Cumpliendo CTE DB HE 1 y apartado 4.6 CEC puentes térmicos.</t>
  </si>
  <si>
    <t xml:space="preserve">D16ATA025</t>
  </si>
  <si>
    <t xml:space="preserve">AISL. PILARES AISLAMIENTO REFLEX. AIR BUR TERMIC S ADHESIVO</t>
  </si>
  <si>
    <t xml:space="preserve">Tratamiento puente termico en los pilares
PAREADO TIPO
PLANTA BAJA: 7 × 14.00 × 1.00 × 3.60
PLANTA SEGUNDA: 7 × 10.00 × 1.00 × 2.80
AISLADA TIPO 1 (VIVIENDA 5)
PLANTA BAJA: 1 × 11.00 × 1.00 × 3.60
PLANTA SEGUNDA: 1 × 10.00 × 1.00 × 2.80
AISLADA TIPO 2 (VIVIENDA 10)
PLANTA BAJA: 1 × 11.00 × 1.00 × 3.60
PLANTA SEGUNDA: 1 × 10.00 × 1.00 × 2.80</t>
  </si>
  <si>
    <t xml:space="preserve">AISL. PILARES AISLAMIENTO REFLEX. AIR BUR TERMIC S ADHESIVOAislamiento térmico reflectivo para rotura de puente térmico de pilares integrados en fachada (aislamiento por su cara exterior), Air Bur Termic S o similar, formado por una lámina de aluminio puro, una burbuja de aire seco y film adhesivo para su instalación, con una resistencia térmica de 0,98 m²K/W y 4 mm de espesor y una clasificación ante el fuego NDP. Incluso p.p. de cortes, medios auxiliares y limpieza, sellado de juntas con cinta autoadhesiva de polietileno reticulado CintPex 50 o similar, totalmente terminado. Adecuado principalmente para colocar posteriormente aplacados que no necesiten estar pegados al aislamiento ( cerámica, ladrillos...), no recomendado para enfoscar encima. Cumpliendo CTE DB HE 1 y apartado 4.6 CEC puentes térmicos.</t>
  </si>
  <si>
    <t xml:space="preserve">D16DD153</t>
  </si>
  <si>
    <t xml:space="preserve">AISLAMIENTO ACÚSTICO PARA SUELO FLOTANTE PARQUET CHOVAIMPACT 3 S</t>
  </si>
  <si>
    <t xml:space="preserve">SUELO FLOTANTE
PAREADO TIPO
PLANTA BAJA
Vestíbulo: 14 × 5.00
Dormitorio 1: 14 × 9.55
Salón-comedor: 14 × 29.15
PLANTA PRIMERA
Distribuidor: 14 × 3.95
Dormitorio principal: 14 × 17.50
Dormitorio 2: 14 × 12.10
Dormitorio 3: 14 × 12.00
AISLADA TIPO 1 (VIVIENDA 5)
PLANTA BAJA
Vestíbulo: 1 × 5.00
Dormitorio 1: 1 × 9.55
Salón-comedor: 1 × 29.05
PLANTA PRIMERA
Distribuidor: 1 × 3.95
Dormitorio principal: 1 × 17.50
Dormitorio 2: 1 × 12.45
Dormitorio 3: 1 × 12.15
AISLADA TIPO 2 (VIVIENDA 10)
PLANTA BAJA
Vestíbulo: 1 × 5.00
Dormitorio 1: 1 × 9.50
Salón-comedor: 1 × 30.30
PLANTA PRIMERA
Distribuidor: 1 × 3.40
Dormitorio principal: 1 × 17.70
Dormitorio 2: 1 × 12.10
Dormitorio 3: 1 × 12.50</t>
  </si>
  <si>
    <t xml:space="preserve">Marca/serie: CHOVA</t>
  </si>
  <si>
    <t xml:space="preserve">AISLAMIENTO ACÚSTICO PARA SUELO FLOTANTE PARQUET CHOVAIMPACT 3 SAislamiento acústico a ruido de impacto, colocado sobre capa de nivelación o pavimento existente, lámina ChovAIMPACT 3 "CHOVA" de 3 mm de espesor compuesta por polietileno de alta calidad revestida por una de sus caras con film de polietileno preparada para recibir directamente el suelo de madera o laminado.</t>
  </si>
  <si>
    <t xml:space="preserve">D17AA524</t>
  </si>
  <si>
    <t xml:space="preserve">AISLAM. LAMINA ANTIRADON POLYDAN RADON 180-40P ELAST</t>
  </si>
  <si>
    <t xml:space="preserve">PAREADO TIPO: 14 × 70.30
AISLADA TIPO 1 (VIVIENDA 5): 1 × 71.90
AISLADA TIPO 2 (VIVIENDA 10): 1 × 72.70</t>
  </si>
  <si>
    <t xml:space="preserve">Marca/serie: Esterdan pendiente cero</t>
  </si>
  <si>
    <t xml:space="preserve">AISLAM. LAMINA ANTIRADON POLYDAN RADON 180-40P ELASTImpermeabilización monocapa en cubiertas con pendiente entre el 1% y el 15%, no transitables o transitables para uso peatonal, sistema no adherido, constituida por una lámina asfáltica de betún modificado con elastómeros SBS y peso medio de 4 kg/m² acabada con film de polietileno por ambas caras, ESTERDAN 40 P ELAST, con plegabilidad positiva a 15°C y armadura de fieltro de poliéster (Tipo LBM 40 FP), en posición flotante, adherida sólo en bordes y puntos singulares con soplete, previa imprimación de la base con 0,3 kg/m² de emulsión asfáltica CURIDAN, lista para proteger con protección pesada. Membrana PN 1, s/UNE 104 402/96. Según CTE/DB HS 1. Dispone de DIT. "Esterdan pendiente cero". Nº 550/10.</t>
  </si>
  <si>
    <t xml:space="preserve">NAD010</t>
  </si>
  <si>
    <t xml:space="preserve">AISLAMIENTO LANA MINERAL 100 mm BAJO FORJADO</t>
  </si>
  <si>
    <t xml:space="preserve">FALSOS TECHOS EXTERIORES
PAREADO TIPO: 14 × 9.80
AISLADA TIPO 1(VIVIENDA 5): 1 × 10.70
AISLADA TIPO 2(VIVIENDA 10): 1 × 8.10</t>
  </si>
  <si>
    <t xml:space="preserve">AISLAMIENTO LANA MINERAL 100 mm BAJO FORJADOSuministro y colocación de aislamiento térmico bajo forjado formado por panel semirrígido de lana mineral, según UNE-EN 13162, no revestido, de 100 mm de espesor, resistencia térmica 2,25 m²K/W, conductividad térmica 0,035 W/(mK), fijado mecánicamente. Incluso p/p de cortes, fijaciones y limpieza.</t>
  </si>
  <si>
    <t xml:space="preserve">509b</t>
  </si>
  <si>
    <t xml:space="preserve">AISLAMIENTO XPS 80 mm SUELO</t>
  </si>
  <si>
    <t xml:space="preserve">AISLAMIENTO XPS 80 mm SUELOSuministro y colocación de aislamiento térmico por el interior sobre espacio habitable, formado por panel rígido de poliestireno extruido de superficie lisa y mecanizado lateral a media madera, de 80 mm de espesor, resistencia térmica 2,42 m²K/W, conductividad térmica 0,033 W/(mK), fijado con taco de expansión y clavo de polipropileno, con aro de estanqueidad. Incluso cortes y limpieza.</t>
  </si>
  <si>
    <t xml:space="preserve">510</t>
  </si>
  <si>
    <t xml:space="preserve">AISLAMIENTO XPS 100 mm FACHADAS</t>
  </si>
  <si>
    <t xml:space="preserve">PAREADO TIPO
Planta baja: 14 × 27.50 × 3.25
Planta primera: 14 × 27.00 × 3.15
-A descontar &gt; 4.00 m²
PE2: -14 × 2.80 × 2.20
PE3: -14 × 1.90 × 2.20
PE4: -14 × 2.80 × 2.10
AISLADO TIPO 1 (VIVIENDA 5)
Planta baja: 1 × 37.25 × 3.25
Planta primera: 1 × 38.05 × 3.15
-A descontar &gt; 4.00 m²
PE2: -1 × 2.80 × 2.20
PE3: -1 × 1.90 × 2.20
PE4: -1 × 2.80 × 2.10
AISLADO TIPO 2 (VIVIENDA 10)
Planta baja: 1 × 37.75 × 3.25
Planta primera: 1 × 37.65 × 3.15
-A descontar &gt; 4.00 m²
PE2: -1 × 2.80 × 2.20
PE3: -1 × 1.90 × 2.20
PE4: -1 × 2.80 × 2.10</t>
  </si>
  <si>
    <t xml:space="preserve">AISLAMIENTO XPS 100 mm FACHADASSuministro y colocación de aislamiento térmico por el interior en fachada de doble hoja de fábrica para revestir, formado por panel rígido de poliestireno extruido, de superficie lisa y mecanizado lateral a media madera, de 100 mm de espesor, resistencia térmica 2,75 m²K/W, conductividad térmica 0,029 W/(mK),  fijado con taco de expansión y clavo de polipropileno, con aro de estanqueidad. Incluso cortes y limpieza.</t>
  </si>
  <si>
    <t xml:space="preserve">509</t>
  </si>
  <si>
    <t xml:space="preserve">AISLAMIENTO XPS 100 mm CUBIERTA</t>
  </si>
  <si>
    <t xml:space="preserve">PAREADO TIPO
Cubierta primera: 7 × 133.70
Cubierta baja: 14 × 9.00
AISLADA TIPO 1(VIVIENDA 5)
Cubierta primera: 1 × 66.70
Cubierta baja: 1 × 9.00
AISLADA TIPO 2(VIVIENDA 10)
Cubierta primera: 1 × 65.85
Cubierta baja: 1 × 8.10</t>
  </si>
  <si>
    <t xml:space="preserve">AISLAMIENTO XPS 100 mm CUBIERTASSuministro y colocación de aislamiento térmico por el exterior de cubiertas inclinadas/planas sobre espacio habitable, formado por panel rígido de poliestireno extruido de superficie lisa y mecanizado lateral a media madera, de 100 mm de espesor, resistencia térmica 2,75 m²K/W, conductividad térmica 0,029 W/(mK), fijado con taco de expansión y clavo de polipropileno, con aro de estanqueidad. Incluso cortes y limpieza.</t>
  </si>
  <si>
    <t xml:space="preserve">Névola · Pladur: trasdosados, tabiques y techos · 16 viviendas</t>
  </si>
  <si>
    <t xml:space="preserve">Capítulo C.08 del proyecto de ejecución (BC3 de julio de 2026). Medición de toda la promoción y su desglose tal como viene en el proyecto. Precios del proyecto (CYPE, PEM, sin IVA), solo como referencia.</t>
  </si>
  <si>
    <t xml:space="preserve">507</t>
  </si>
  <si>
    <t xml:space="preserve">TRASDOSADO AUTOPORT. KNAUF W625 (1x15,0+48) C/AISL</t>
  </si>
  <si>
    <t xml:space="preserve">PAREADO TIPO
Planta baja: 14 × 36.10 × 2.95
Planta primera: 14 × 36.30 × 2.85
-A descontar &gt; 4.00 m²
PE2: -14 × 2.80 × 2.20
PE3: -14 × 1.90 × 2.20
PE4: -14 × 2.80 × 2.10
AISLADO TIPO 1 (VIVIENDA 5)
Planta baja: 1 × 36.25 × 2.95
Planta primera: 1 × 37.25 × 2.85
-A descontar &gt; 4.00 m²
PE2: -1 × 2.80 × 2.20
PE3: -1 × 1.90 × 2.20
PE4: -1 × 2.80 × 2.10
AISLADO TIPO 2 (VIVIENDA 10)
Planta baja: 1 × 36.95 × 2.95
Planta primera: 1 × 36.84 × 2.85
-A descontar &gt; 4.00 m²
PE2: -1 × 2.80 × 2.20
PE3: -1 × 1.90 × 2.20
PE4: -1 × 2.80 × 2.10</t>
  </si>
  <si>
    <t xml:space="preserve">TRASDOSADO AUTOPORT. KNAUF W625 (1x15,0+48) C/AISLTrasdosado autoportante W625 formado por una placa Knauf Tipo A Standard o Tipo H1 Hidrófugas en locales húmedos de 15,0 mm de espesor, atornilladas a una estructura metálica de acero galvanizado de canales horizontales y montantes verticales de 48x30 y 0,6 mm de espesor, con una modulación de 400 mm e/e y fijadas al muro portante con anclajes directos cada 1,00 m, incluso aislamiento acústico mediante panel semirrígido de lana mineral, espesor 45 mm, en el alma, y p.p. de pasta y cinta para juntas, tornillos fijaciones, banda acústica bajo los perfiles perimetrales, totalmente terminado y listo para imprimar y decorar.</t>
  </si>
  <si>
    <t xml:space="preserve">FBY015</t>
  </si>
  <si>
    <t xml:space="preserve">TABIQUE MÚLTIPLE KNAUF W112 (2x12,5+48+2x12,5) C/AISL</t>
  </si>
  <si>
    <t xml:space="preserve">PAREADO TIPO
Planta baja: 14 × 15.10 × 2.95
Planta primera: 14 × 30.20 × 2.85
AISLADO TIPO 1 (VIVIENDA 5)
Planta baja: 1 × 15.10 × 2.95
Planta primera: 1 × 30.20 × 2.85
AISLADO TIPO 2 (VIVIENDA 10)
Planta baja: 1 × 14.85 × 2.95
Planta primera: 1 × 30.35 × 2.85</t>
  </si>
  <si>
    <t xml:space="preserve">Marca/serie: KNAUF</t>
  </si>
  <si>
    <t xml:space="preserve">TABIQUE MÚLTIPLE KNAUF W112 (2x12,5+48+2x12,5) C/AISLTabique múltiple sistema W112.es "KNAUF", de 98 mm de espesor total, con nivel de calidad del acabado Q2, sobre banda acústica de dilatación autoadhesiva "KNAUF", formado por una estructura simple de perfiles de chapa de acero galvanizado de 48 mm de anchura, a base de montantes (elementos verticales) separados 400 mm entre sí, con disposición normal "N" y canales (elementos horizontales), a la que se atornillan cuatro placas en total (Tipo A Standard o Tipo H1 Hidrófugas en locales húmedos en cada cara, de 12,5 mm de espesor cada placa); aislamiento acústico mediante panel semirrígido de lana mineral, espesor 45 mm, en el alma. Incluso banda acústica de dilatación autoadhesiva "KNAUF"; tornillería para la fijación de las placas y pasta y cinta para el tratamiento de juntas.</t>
  </si>
  <si>
    <t xml:space="preserve">FBY015b</t>
  </si>
  <si>
    <t xml:space="preserve">TABIQUE MÚLTIPLE KNAUF W112 (2x12,5+70+2x12,5) C/AISL</t>
  </si>
  <si>
    <t xml:space="preserve">COLECTORES CLIMA/CUADRO ELÉCTRICO
PAREADO TIPO
Planta baja: 14 × 5.50 × 2.95
Planta primera: 14 × 1.65 × 2.85
Escalera (barandilla): 14 × 1.65 × 1.00
AISLADO TIPO 1 (VIVIENDA 5)
Planta baja: 1 × 5.50 × 2.95
Planta primera: 1 × 1.65 × 2.85
Escalera (barandilla): 1 × 1.65 × 1.00
AISLADO TIPO 2 (VIVIENDA 10)
Planta baja: 1 × 5.00 × 2.95
Planta primera: 1 × 1.45 × 2.85
Escalera (barandilla): 1 × 1.65 × 1.00</t>
  </si>
  <si>
    <t xml:space="preserve">TABIQUE MÚLTIPLE KNAUF W112 (2x12,5+70+2x12,5) C/AISLTabique múltiple sistema W112.es "KNAUF", de 120 mm de espesor total, con nivel de calidad del acabado Q2, sobre banda acústica de dilatación autoadhesiva "KNAUF", formado por una estructura simple de perfiles de chapa de acero galvanizado de 70 mm de anchura, a base de montantes (elementos verticales) separados 400 mm entre sí, con disposición normal "N" y canales (elementos horizontales), a la que se atornillan cuatro placas en total (Tipo A Standard o Tipo H1 Hidrófugas en locales húmedos en cada cara, de 12,5 mm de espesor cada placa); aislamiento acústico mediante panel semirrígido de lana mineral, espesor 65 mm, en el alma. Incluso banda acústica de dilatación autoadhesiva "KNAUF"; tornillería para la fijación de las placas y pasta y cinta para el tratamiento de juntas.</t>
  </si>
  <si>
    <t xml:space="preserve">D14DAC005-2</t>
  </si>
  <si>
    <t xml:space="preserve">INCREMENTO PLACA ALTA RESISTENCIA MUEBLES DE COCINA/LAVABOS/ESCALERAS</t>
  </si>
  <si>
    <t xml:space="preserve">COCINAS
PAREADO TIPO: 14 × 3.00 × 1.50
AISLADO TIPO 1 (VIVIENDA 5): 1 × 3.00 × 1.50
AISLADO TIPO 2 (VIVIENDA 10): 1 × 3.10 × 1.50
ESCALERAS: 16 × 1.65 × 1.00
BAÑOS
PAREADO TIPO: 14 × 3.25 × 2.00
AISLADO TIPO 1 (VIVIENDA 5): 1 × 3.25 × 2.00
AISLADA TIPO 2 (VIVIENDA 10): 1 × 3.25 × 2.00</t>
  </si>
  <si>
    <t xml:space="preserve">511</t>
  </si>
  <si>
    <t xml:space="preserve">FALSO TECHO CONTINUO CUARTOS SECOS</t>
  </si>
  <si>
    <t xml:space="preserve">PAREADO TIPO
PLANTA BAJA
Vestíbulo: 14 × 5.00
Dormitorio 1: 14 × 9.55
Salón-comedor: 14 × 29.15
PLANTA PRIMERA
Escalera: 14 × 4.65
Distribuidor: 14 × 3.95
Dormitorio principal: 14 × 17.50
Dormitorio 2: 14 × 12.10
Dormitorio 3: 14 × 12.00
AISLADA TIPO 1 (VIVIENDA 5)
PLANTA BAJA
Vestíbulo: 1 × 5.00
Dormitorio 1: 1 × 9.55
Salón-comedor: 1 × 29.05
PLANTA PRIMERA
Escalera: 1 × 4.65
Distribuidor: 1 × 3.95
Dormitorio principal: 1 × 17.50
Dormitorio 2: 1 × 12.45
Dormitorio 3: 1 × 12.15
AISLADA TIPO 2 (VIVIENDA 10)
PLANTA BAJA
Vestíbulo: 1 × 5.00
Dormitorio 1: 1 × 9.50
Salón-comedor: 1 × 30.30
PLANTA PRIMERA
Escalera: 1 × 4.65
Distribuidor: 1 × 3.40
Dormitorio principal: 1 × 17.70
Dormitorio 2: 1 × 12.10
Dormitorio 3: 1 × 12.50</t>
  </si>
  <si>
    <t xml:space="preserve">FALSO TECHO CONTINUO CUARTOS SECOSFalso techo continuo suspendido, situado a una altura menor de 4 m, con nivel de calidad del acabado Q2, liso, sistema D47.es "KNAUF" (12,5+17), formado por una placa de yeso laminado A/UNE-EN 520-1200/longitud/12,5/ con los bordes longitudinales afinados, Standard "KNAUF" atornillada a una estructura metálica de acero galvanizado de maestras primarias 47/17 mm separadas cada 500 mm entre ejes y suspendidas del forjado o elemento soporte mediante cuelgues Pivot F-47, para maestra 47/17, "KNAUF", y varillas cada 1200 mm, aislamiento acústico mediante panel semirrígido de lana mineral, espesor 45 mm. Incluso banda acústica, fijaciones para el anclaje de los perfiles, tornillería para la fijación de las placas, pasta y cinta para el tratamiento de juntas y accesorios de montaje.</t>
  </si>
  <si>
    <t xml:space="preserve">512</t>
  </si>
  <si>
    <t xml:space="preserve">FALSO TECHO CONTINUO CUARTOS HÚMEDOS</t>
  </si>
  <si>
    <t xml:space="preserve">PAREADO TIPO
PLANTA BAJA
Baño 1: 14 × 3.75
Lavadero: 14 × 4.00
Cocina: 14 × 8.45
PLANTA PRIMERA
Baño Principal: 14 × 7.10
Baño 2: 14 × 3.85
AISLADA TIPO 1 (VIVIENDA 5)
PLANTA BAJA
Baño 1: 1 × 3.75
Lavadero: 1 × 4.00
Cocina: 1 × 8.45
PLANTA PRIMERA
Baño Principal: 1 × 6.75
Baño 2: 1 × 3.75
AISLADA TIPO 2 (VIVIENDA 10)
PLANTA BAJA
Baño 1: 1 × 3.65
Lavadero: 1 × 4.30
Cocina: 1 × 7.85
PLANTA PRIMERA
Baño Principal: 1 × 6.80
Baño 2: 1 × 3.30</t>
  </si>
  <si>
    <t xml:space="preserve">FALSO TECHO CONTINUO CUARTOS HÚMEDOSFalso techo continuo suspendido, situado a una altura menor de 4 m, con nivel de calidad del acabado Q2, liso, sistema D47.es "KNAUF" (12,5+17), formado por una placa de yeso laminado A/UNE-EN 520-1200/longitud/12,5/ con los bordes longitudinales afinados, Tipo H1 Hidrófugas para locales húmedos "KNAUF" atornillada a una estructura metálica de acero galvanizado de maestras primarias 47/17 mm separadas cada 500 mm entre ejes y suspendidas del forjado o elemento soporte mediante cuelgues Pivot F-47, para maestra 47/17, "KNAUF", y varillas cada 1200 mm, aislamiento acústico mediante panel semirrígido de lana mineral, espesor 45 mm. Incluso banda acústica, fijaciones para el anclaje de los perfiles, tornillería para la fijación de las placas, pasta y cinta para el tratamiento de juntas y accesorios de montaje.</t>
  </si>
  <si>
    <t xml:space="preserve">RTC020b</t>
  </si>
  <si>
    <t xml:space="preserve">TABICA VERTICAL FALSO TECHO CONTINUO</t>
  </si>
  <si>
    <t xml:space="preserve">PAREADO TIPO
Planta baja: 14 × 6.25
Planta primera: 14 × 1.00
AISLADA TIPO 1 (VIVIENDA 5)
Planta baja: 1 × 6.25
Planta primera: 1 × 1.00
AISLADA TIPO 2 (VIVIENDA 10)
Planta baja: 1 × 6.50
Planta primera: 1 × 1.25</t>
  </si>
  <si>
    <t xml:space="preserve">TABICA VERTICAL FALSO TECHO CONTINUO Formación de tabica vertical en cambio de nivel de falso techo continuo, formado por una placa de yeso laminado A/UNE-EN 520-1200/longitud/12,5/ con los bordes longitudinales afinados, Tipo A Standard o Tipo H1 Hidrófugas en locales húmedos "KNAUF", atornillada a una estructura metálica de acero galvanizadorecibidas con pasta de agarre, para cerrar un espacio de 30 cm de altura. Incluso corte, fijación con pasta de agarre, pasta de juntas y cinta de juntas.Incluye: Replanteo y trazado en los paramentos de la situación de la tabica. Presentación y corte de las piezas. Extendido de la pasta de agarre. Fijación de las placas. Tratamiento de juntas.Criterio de medición de proyecto: Longitud medida según documentación gráfica de Proyecto.Criterio de medición de obra: Se medirá la longitud realmente ejecutada según especificaciones de Proyecto.Criterio de valoración económica: El precio incluye la resolución de encuentros y puntos singulares.</t>
  </si>
  <si>
    <t xml:space="preserve">513</t>
  </si>
  <si>
    <t xml:space="preserve">FALSO TECHO CONTINUO PLACAS DE CEMENTO</t>
  </si>
  <si>
    <t xml:space="preserve">VUELOS EXTERIORES
PAREADO TIPO: 14 × 9.80
AISLADA TIPO 1(VIVIENDA 5): 1 × 10.70
AISLADA TIPO 2(VIVIENDA 10): 1 × 8.10</t>
  </si>
  <si>
    <t xml:space="preserve">FALSO TECHO CONTINUO PLACAS DE CEMENTOSuministro y montaje de falso techo continuo, situado a una altura de hasta 4 m, liso D282a.es "KNAUF" o similar (12,5+27+27), formado por una placa de cemento Portland Aquapanel Outdoor "KNAUF" 12,5x1200x2400, revestida con una capa de fibra de vidrio embebida en ambas caras, atornillada a una estructura metálica de acero galvanizado de maestras primarias 60/27 mm separadas cada 50 mm entre ejes y suspendidas del forjado o elemento soporte mediante cuelgues Nonius cada 750 mm (incluidos en este precio), y maestras secundarias fijadas perpendicularmente a las primarias mediante caballetes y colocadas con una modulación máxima de 400 mm entre ejes, incluso p/p de fijaciones, tornillería, resolución del perímetro y puntos singulares, mortero de juntas, cinta de juntas y accesorios de montaje. Totalmente terminado con pasta Aquapanel Q4 Finish.</t>
  </si>
  <si>
    <t xml:space="preserve">FUF010</t>
  </si>
  <si>
    <t xml:space="preserve">MAMPARA DUCHA</t>
  </si>
  <si>
    <t xml:space="preserve">MAMPARAS BAÑO PRINCIPAL
TODA LA OBRA: 16 × 0.60 × 2.40
16 × 0.60 × 1.20</t>
  </si>
  <si>
    <t xml:space="preserve">Color: plata</t>
  </si>
  <si>
    <t xml:space="preserve">MAMPARA DUCHAPared fija de vidrio, formada por: perfiles de aluminio anodizado color plata mate y vidrio laminar de seguridad, 6+6 mm, incoloro, clasificación de prestaciones 2B2, según UNE-EN 12600.</t>
  </si>
  <si>
    <t xml:space="preserve">Névola · Alicatados y solados · 16 viviendas</t>
  </si>
  <si>
    <t xml:space="preserve">Capítulo C.09 del proyecto de ejecución (BC3 de julio de 2026). Medición de toda la promoción y su desglose tal como viene en el proyecto. Precios del proyecto (CYPE, PEM, sin IVA), solo como referencia.</t>
  </si>
  <si>
    <t xml:space="preserve">RAG012</t>
  </si>
  <si>
    <t xml:space="preserve">ALICATADO GRES PORCELÁNICO (20 /m²)</t>
  </si>
  <si>
    <t xml:space="preserve">PAREADO TIPO
Cocina: 14 × 3.00 × 2.40
Lavadero: 14 × 10.45 × 2.10
Baño 1: 14 × 8.00 × 2.40
Baño 2: 14 × 8.25 × 2.40
Baño principal: 14 × 8.65 × 2.40
AISLADA TIPO 1 (VIVIENDA 5)
Cocina: 1 × 3.00 × 2.40
Lavadero: 1 × 10.45 × 2.10
Baño 1: 1 × 8.00 × 2.40
Baño 2: 1 × 8.25 × 2.40
Baño principal: 1 × 8.35 × 2.40
AISLADA TIPO 2 (VIVIENDA 10)
Cocina: 1 × 3.10 × 2.40
Lavadero: 1 × 8.65 × 2.10
Baño 1: 1 × 8.00 × 2.40
Baño 2: 1 × 7.55 × 2.40
Baño principal: 1 × 8.50 × 2.40</t>
  </si>
  <si>
    <t xml:space="preserve">ALICATADO GRES PORCELÁNICO (20 /m²)Suministro y colocación de alicatado con gres porcelánico acabado mate o natural, en formato comercial,(precio del material 20 euros/m²), capacidad de absorción de agua E&lt;0,5%, grupo BIa, según UNE-EN 14411, con resistencia al deslizamiento Rd&lt;=15 según UNE-ENV 12633 y resbaladicidad clase 0 según CTE, recibido con adhesivo cementoso de fraguado normal, C1 sin ninguna característica adicional, color gris. Incluso p/p de preparación de la superficie soporte de placas de yeso laminado; replanteo, cortes, cantoneras de PVC, y juntas; rejuntado con lechada de cemento blanco, L, BL-V 22,5, para junta mínima (entre 1,5 y 3 mm), coloreada con la misma tonalidad de las piezas; acabado y limpieza final.</t>
  </si>
  <si>
    <t xml:space="preserve">D19RA002</t>
  </si>
  <si>
    <t xml:space="preserve">PAVIMENTO LAMINADO TERHÜRNE 8,5 mm</t>
  </si>
  <si>
    <t xml:space="preserve">PAREADO TIPO
PLANTA BAJA
Vestíbulo: 14 × 5.00
Dormitorio 1: 14 × 9.55
Salón-comedor: 14 × 29.15
PLANTA PRIMERA
Distribuidor: 14 × 3.95
Dormitorio principal: 14 × 17.50
Dormitorio 2: 14 × 12.10
Dormitorio 3: 14 × 12.00
AISLADA TIPO 1 (VIVIENDA 5)
PLANTA BAJA
Vestíbulo: 1 × 5.00
Dormitorio 1: 1 × 9.55
Salón-comedor: 1 × 29.05
PLANTA PRIMERA
Distribuidor: 1 × 3.95
Dormitorio principal: 1 × 17.50
Dormitorio 2: 1 × 12.45
Dormitorio 3: 1 × 12.15
AISLADA TIPO 2 (VIVIENDA 10)
PLANTA BAJA
Vestíbulo: 1 × 5.00
Dormitorio 1: 1 × 9.50
Salón-comedor: 1 × 30.30
PLANTA PRIMERA
Distribuidor: 1 × 3.40
Dormitorio principal: 1 × 17.70
Dormitorio 2: 1 × 12.10
Dormitorio 3: 1 × 12.50</t>
  </si>
  <si>
    <t xml:space="preserve">Medidas: 1285x191x8,5mm</t>
  </si>
  <si>
    <t xml:space="preserve">PAVIMENTO LAMINADO TERHÜRNE 8,5 mmPavimento laminado Comfloor ( AC5/32 ) Akustec de Terhürne o similar, con tablero base DPL de alta densidad de medidas 1285x191x8,5 mm dotado de junta de cierre ClikTec en los cuatro cantos de la tabla. Compuesto por tres elementos: A, capa de desgaste compuesta de una capa protectora fábricada a partir de resinas melamínicas y papel decorado con acabado de superficie similar a la madera (arce natural, haya, roble...). B, tablero base HDF dotado de sistema anti humedad WaterproTec y unión ClickTec. C, contracapa de papel Krahf para mayor estabilidad del conjunto y sistema de reducción del sonido de la pisada AkusTec.(INCLUYE PLASTON)</t>
  </si>
  <si>
    <t xml:space="preserve">FDD150</t>
  </si>
  <si>
    <t xml:space="preserve">TAPETA MADERA EN ESCALERA</t>
  </si>
  <si>
    <t xml:space="preserve">Escaleras: 16 × 1.65</t>
  </si>
  <si>
    <t xml:space="preserve">TAPETA MADERA EN ESCALERATapeta recta de madera de roble, de 100 mm de ancho máximo, barnizado en taller con barniz sintético con acabado satinado, con soportes metálicos fijados al paramento mediante anclaje mecánico con tacos de nylon y tornillos de acero. Incluso p/p de replanteo de los soportes, fijación de los soportes al paramento y fijación del pasamanos a los soportes. Elaborado en taller y montado en obra.</t>
  </si>
  <si>
    <t xml:space="preserve">FDD140</t>
  </si>
  <si>
    <t xml:space="preserve">PASAMANOS ALUMINIO</t>
  </si>
  <si>
    <t xml:space="preserve">Escaleras: 16 × 3.80</t>
  </si>
  <si>
    <t xml:space="preserve">Medidas: 60x40mm · Color: natural</t>
  </si>
  <si>
    <t xml:space="preserve">PASAMANOS ALUMINIOPasamanos curvo de aluminio anodizado color natural, de 60x40 mm de sección, con soportes de aluminio fijados al paramento mediante anclaje mecánico con tacos de nylon y tornillos de acero. Incluso p/p de replanteo de los soportes, fijación de los soportes al paramento, fijación del pasamanos a los soportes y colocación de tapas de remate. Elaborado en taller y montado en obra.</t>
  </si>
  <si>
    <t xml:space="preserve">D19DD003D</t>
  </si>
  <si>
    <t xml:space="preserve">SOLADO DE GRES PORCELÁNICO (20 /m²) INTERIOR C2</t>
  </si>
  <si>
    <t xml:space="preserve">SOLADO DE GRES PORCELÁNICO (20 /m²) INTERIOR C2Solado con baldosas de gres porcelánico acabado mate o natural, en formato comercial,(precio del material 20 euros/m²) para interiores (resistencia al deslizamiento Rd  s/ UNE-ENV 12633 para: a) zonas secas, CLASE 1 para pendientes menores al 6% y CLASE 2 para pendientes superiores al 6% y escaleras, b) zonas húmedas, CLASE 2 para pendientes menores al 6% y CLASE 3 para pendientes superiores al 6% y escaleras y piscinas), recibido con cemento cola Weber.col classic blanco, sobre base de mortero de cemento y arena de río 1/6 (incluido), i/piezas especiales, ejecución de cortes, rejuntado con mortero decorativo Weber col  junta fina (&lt; 3mm) y limpieza, s/ CTE BD SU y NTE-RSB-7.</t>
  </si>
  <si>
    <t xml:space="preserve">D19DD004</t>
  </si>
  <si>
    <t xml:space="preserve">SOLADO DE GRES PORCELÁNICO (20 /m²) EXTERIOR C3</t>
  </si>
  <si>
    <t xml:space="preserve">ZAGUÁN ACCESO: 16 × 1.50
PÉRGOLA-TERRAZA
PAREADO TIPO: 14 × 23.55
AISLADA TIPO 1 (VIVIENDA 5): 1 × 24.10
AISLADA TIPO 2 (VIVIENDA 10): 1 × 22.55
TERRAZA PLANTA PRIMERA
PAREADO TIPO: 14 × 9.00
AISLADA TIPO 1 (VIVIENDA 5): 1 × 9.00
AISLADA TIPO 2 (VIVIENDA 10): 1 × 8.10
ZONA COMÚN
PISCINA  ADULTOS: 1 × 131.75
CUARTO TÉCNICO PISCINAS: 1 × 20.75
CASETA  APEROS: 1 × 13.45
PISCINA CHAPOTEO: 1 × 40.25</t>
  </si>
  <si>
    <t xml:space="preserve">SOLADO DE GRES PORCELÁNICO (20 /m²) EXTERIOR C3Solado con baldosas de gres porcelánico acabado mate o natural, en formato comercial,(precio del material 20 euros/m²), para exteriores y piscinas (resistencia al deslizamiento Rd&gt;45  s/ UNE-ENV 12633 CLASE 3), recibido con mortero de cemento y arena de río M5 según UNE-EN 998-2, i/cama de 2 cm de arena de río, p.p. de rodapié del mismo material de 7 cm, rejuntado y limpieza, s/ CTE BD SU y NTE-RSB-7.</t>
  </si>
  <si>
    <t xml:space="preserve">UXC020</t>
  </si>
  <si>
    <t xml:space="preserve">HORMIGÓN PULIDO</t>
  </si>
  <si>
    <t xml:space="preserve">Cuarto técnico piscinas: 1 × 16.00</t>
  </si>
  <si>
    <t xml:space="preserve">HORMIGÓN PULIDOPavimento continuo exterior de hormigón en masa, con juntas, de 10 cm de espesor medio, realizado con hormigón HM-15/B/20/I fabricado en central y vertido desde camión; con lámina de polietileno como capa separadora bajo el pavimento; tratado superficialmente con capa de rodadura de con un rendimiento aproximado de 3 kg/m², espolvoreado manualmente sobre el hormigón aún fresco y posterior fratasado mecánico de toda la superficie hasta conseguir que el mortero quede totalmente integrado en el hormigón. Incluso p/p de colocación y retirada de encofrados, ejecución de juntas de construcción; emboquillado o conexión de los elementos exteriores (cercos de arquetas, sumideros, botes sifónicos, etc.) de las redes de instalaciones ejecutadas bajo el pavimento; extendido, regleado y aplicación de aditivos. Sin incluir la ejecución de la base de apoyo ni la de las juntas de dilatación y de retracción.</t>
  </si>
  <si>
    <t xml:space="preserve">0604</t>
  </si>
  <si>
    <t xml:space="preserve">HORMIGÓN IMPRESO-SOLERA HA-25 #150x150x5 15 cm+ENCACHADO+PVC</t>
  </si>
  <si>
    <t xml:space="preserve">VIVIENDAS (ACERADO)
VIVIENDA 1: 1 × 69.20
VIVIENDA 2: 1 × 68.65
VIVIENDA 3: 1 × 67.90
VIVIENDA 4: 1 × 71.65
VIVIENDA 5: 1 × 67.20
VIVIENDA 6: 1 × 74.65
VIVIENDA 7: 1 × 86.65
VIVIENDA 8: 1 × 64.50
VIVIENDA 9: 1 × 67.10
VIVIENDA 10: 1 × 69.95
VIVIENDA 11: 1 × 69.20
VIVIENDA 12: 1 × 61.40
VIVIENDA 13: 1 × 71.00
VIVIENDA 14: 1 × 69.15
VIVIENDA 15: 1 × 69.15
VIVIENDA 16: 1 × 74.00
ZONA COMÚN: 1 × 656.25</t>
  </si>
  <si>
    <t xml:space="preserve">Medidas: 150x150x5mm</t>
  </si>
  <si>
    <t xml:space="preserve">HORMIGÓN IMPRESO-SOLERA HA-25 #150x150x5 15 cm+ENCACHADO+PVCSolera de 15 cm de espesor, realizada con hormigón HA-25/B/20/IIa N/mm², tamaño máximo del árido 20 mm elaborado en central, i/vertido, colocación y armado con mallazo electrosoldado #150x150x5 mm, incluso p.p. de juntas, aserrado de las mismas, fratasado y encachado de piedra caliza 40/80 de 15 cm de espesor, extendido y compactado con pisón, con lámina intermedia de PVC Danopol HS de 1,5 mm, junta de perímetro mediante EPS de 1 cm de espesor y sellado de juntas con masilla de poliuretano de elasticidad permanente. Según EHE-08. Acabado impreso en relieve y tratado superficialmente con mortero decorativo de rodadura para pavimento de hormigón; desmoldeante en polvo y capa de sellado final con resina impermeabilizante. Incluso colocación y retirada de encofrados, ejecución de juntas de construcción; emboquillado o conexión de los elementos exteriores (cercos de arquetas, sumideros, botes sifónicos, etc.) de las redes de instalaciones ejecutadas bajo el pavimento; extendido, regleado y aplicación de aditivos.</t>
  </si>
  <si>
    <t xml:space="preserve">D19DD505</t>
  </si>
  <si>
    <t xml:space="preserve">PELDAÑO DE GRES PORCELÁNICO (20 /m²) ESCALERA INTERIOR C2</t>
  </si>
  <si>
    <t xml:space="preserve">Color: blanco</t>
  </si>
  <si>
    <t xml:space="preserve">PELDAÑO DE GRES PORCELÁNICO (20 /m²) ESCALERA INTERIOR C2Revestimiento de peldaño de escalera interior de anchura 1,00 m máximo, con baldosas de gres porcelánico acabado mate o natural, en formato comercial,(precio del material 20 euros/m²)formado por huella con canto redondeado,tabica y rodapié, gama media, capacidad de absorción de agua E&lt;3%, grupo BIb, según UNE-EN 14411, con resistencia al deslizamiento 35&lt;Rd&lt;=45 según UNE-EN 16165 y resbaladicidad clase 2 según CTE. COLOCACIÓN: en capa fina y mediante encolado simple con adhesivo cementoso mejorado, C2 TE, según UNE-EN 12004, con deslizamiento reducido y tiempo abierto ampliado. REJUNTADO: con mortero de juntas cementoso mejorado, con absorción de agua reducida y resistencia elevada a la abrasión tipo CG 2 W A, color blanco, en juntas de 2 mm de espesor.</t>
  </si>
  <si>
    <t xml:space="preserve">HRC030</t>
  </si>
  <si>
    <t xml:space="preserve">VIERTEAGUAS GRES PORCELÁNICO</t>
  </si>
  <si>
    <t xml:space="preserve">TODA LA OBRA
PE2: 16 × 2.80
PE3: 16 × 1.90
PE4: 16 × 2.80</t>
  </si>
  <si>
    <t xml:space="preserve">VIERTEAGUAS GRES PORCELÁNICOFormación de vierteaguas con piezas de gres porcelánico, en formato comercial,con goterón y empotrado en las jambas, cubriendo los alféizares, los salientes de los paramentos, las cornisas de fachada, etc., recibido con mortero de cemento, industrial, con aditivo hidrófugo, M-10, creando una pendiente suficiente para evacuar el agua y rejuntado entre piezas y de las uniones con los muros con mortero de juntas cementoso con absorción de agua reducida, CG2, para juntas entre 3 y 15 mm. Incluso p/p de replanteo, cortes y limpieza final.Incluye: Replanteo de las piezas en el hueco o remate. Preparación y regularización del soporte. Colocación con mortero de las piezas. Relleno de juntas y limpieza del vierteaguas.Criterio de medición de proyecto: Longitud del ancho del hueco, medida según documentación gráfica de Proyecto, incrementada en 5 cm a cada lado.Criterio de medición de obra: Se medirá la longitud realmente ejecutada según especificaciones de Proyecto, incluyendo los empotramientos en las jambas.</t>
  </si>
  <si>
    <t xml:space="preserve">HRL010</t>
  </si>
  <si>
    <t xml:space="preserve">ALBARDILLA ALUMINIO</t>
  </si>
  <si>
    <t xml:space="preserve">PETOS CUBIERTA
PAREADO TIPO: 7 × 54.00
AISLADA TIPO 1 (VIVIENDA 5): 1 × 38.05
AISLADA TIPO 2 (VIVIENDA 10): 1 × 37.65
CASETA  APEROS: 1 × 13.45</t>
  </si>
  <si>
    <t xml:space="preserve">ALBARDILLA ALUMINIOAlbardilla metálica, de chapa plegada de aluminio lacado en color, con un ángulo de inclinación de 10°, con 60 micras de espesor mínimo de película seca, espesor 1,5 mm, desarrollo 300 mm y 5 pliegues, con goterón, para cubrición de muros; colocación con adhesivo bituminoso de aplicación en frío, sobre tablero estructural contrachapado atornillado a rastreles de madera; y sellado de las juntas entre piezas y, en su caso, de las uniones con los muros con sellador adhesivo monocomponente.Incluye: Preparación de la superficie de apoyo. Preparación de la base y de los medios de fijación. Replanteo de las piezas. Corte de las piezas. Colocación y fijación de las piezas metálicas niveladas y aplomadas. Sellado de juntas y limpieza.Criterio de medición de proyecto: Longitud medida a ejes, según documentación gráfica de Proyecto.Criterio de medición de obra: Se medirá, a ejes, la longitud realmente ejecutada según especificaciones de Proyecto.Incluye: Preparación de la superficie de apoyo. Preparación de la base y de los medios de fijación. Replanteo de las piezas. Corte de las piezas. Colocación y fijación de las piezas metálicas niveladas y aplomadas. Sellado de juntas y limpieza.Criterio de medición de proyecto: Longitud medida a ejes, según documentación gráfica de Proyecto.Criterio de medición de obra: Se medirá, a ejes, la longitud realmente ejecutada según especificaciones de Proyecto.</t>
  </si>
  <si>
    <t xml:space="preserve">RCG010</t>
  </si>
  <si>
    <t xml:space="preserve">APLACADO GRES EXTERIOR EN FACHADA</t>
  </si>
  <si>
    <t xml:space="preserve">PAREADO TIPO
Fachada principal: 14 × 17.50
Fachada posterior: 14 × 3.80
Fachada lateral: 14 × 2.25
Rodapié fachada p baja: 14 × 28.10 × 0.20
Rodapié fachada terraza p primera: 14 × 7.15 × 0.20
AISLADA TIPO 1 (VIVIENDA 5)
Fachada principal: 1 × 16.40
Fachada posterior: 1 × 3.80
Fachada lateral derecha: 1 × 2.25
Fachada lateral izquierda: 1 × 2.25
Rodapié fachada p baja: 1 × 41.10 × 0.20
Rodapié fachada terraza p primera: 1 × 7.15 × 0.20
AISLADA TIPO 2 (VIVIENDA 10)
Fachada principal: 1 × 16.40
Fachada posterior: 1 × 4.40
Fachada lateral derecha: 1 × 2.25
Fachada lateral izquierda: 1 × 2.25
Rodapié fachada p baja: 1 × 41.55 × 0.20
Rodapié fachada terraza p primera: 1 × 6.60 × 0.20</t>
  </si>
  <si>
    <t xml:space="preserve">APLACADO GRES EXTERIOR EN FACHADAAplacado mixto, con baldosa de gres porcelánico, en formato comercial, con un coeficiente de absorción de agua del 0,4% y un PEI IV, colocadas en capa fina, aplicando adhesivo cementoso mejorado, C2 TE, con deslizamiento reducido y tiempo abierto ampliado, blanco, utilizando la técnica de doble encolado, sobre una capa previa de mortero de regularización debidamente maestreada, (no incluida en este precio), utilizando además elementos mecánicos de refuerzo, enclavados en las juntas de separación entre baldosas y fijados mecánicamente al paramento. Rejuntado con mortero de juntas cementoso con resistencia elevada a la abrasión y absorción de agua reducida, CG2, para junta abierta (entre 3 y 15 mm), con la misma tonalidad de las piezas. Incluso p/p de preparación de la superficie soporte, replanteo, apertura de cajas en muros, cortes, piezas especiales, formación y sellado de juntas de movimiento, resolución de puntos singulares y encuentros con huecos de carpintería, elementos de fijación mecánica, acabado y limpieza final.Incluye: Replanteo de niveles y disposición de baldosas. Replanteo de taladros. Realización de taladros. Colocación de tacos. Atornillado de los elementos metálicos. Colocación de las piezas, extendiendo el material adhesivo de agarre. Formación de juntas de movimiento. Resolución de puntos singulares. Rejuntado de baldosas. Acabado y limpieza final.Criterio de medición de proyecto: Superficie medida según documentación gráfica de Proyecto, deduciendo los huecos de superficie mayor de 1 m², añadiendo a cambio la superficie de la parte interior del hueco, correspondiente al desarrollo de jambas y dinteles. No se ha incrementado la medición por roturas y recortes, ya que en la descomposición se ha considerado un 5% más de piezas.Criterio de medición de obra: Se medirá la superficie realmente ejecutada según especificaciones de Proyecto, deduciendo los huecos de superficie mayor de 1 m², añadiendo a cambio la superficie de la parte interior del hueco, correspondiente al desarrollo de jambas y dinteles.</t>
  </si>
  <si>
    <t xml:space="preserve">Névola · Carpintería interior · 16 viviendas</t>
  </si>
  <si>
    <t xml:space="preserve">Capítulo C.10 del proyecto de ejecución (BC3 de julio de 2026). Medición de toda la promoción y su desglose tal como viene en el proyecto. Precios del proyecto (CYPE, PEM, sin IVA), solo como referencia.</t>
  </si>
  <si>
    <t xml:space="preserve">LPM010</t>
  </si>
  <si>
    <t xml:space="preserve">PUERTA INTERIOR ABATIBLE MDF</t>
  </si>
  <si>
    <t xml:space="preserve">16 × 7.00</t>
  </si>
  <si>
    <t xml:space="preserve">Medidas: 725x2100x35mm, 70x35mm, 70x30mm, 70x12mm</t>
  </si>
  <si>
    <t xml:space="preserve">PUERTA INTERIOR ABATIBLE MDFPuerta de paso interior abatible ciega en Block con hoja lisa sin molduras y acanaladuras en forma de pico de pájaro, lacada en blanco de medidas de hoja 725x2100x35 mm, de tablero de MDF. Precerco en madera de pino de 70x35 mm, cerco visto de 70x30 mm, tapajuntas de 70x12 mm. Con 4 pernios de latón con remate, picaporte 6137/BC/50/HL y manivela con placa. Totalmente montada, mecanizada y lacada, incluso en p.p. de medios auxiliares.</t>
  </si>
  <si>
    <t xml:space="preserve">LAF010</t>
  </si>
  <si>
    <t xml:space="preserve">ARMARIO MODULAR PUERTAS ABATIBLES</t>
  </si>
  <si>
    <t xml:space="preserve">AE1: 15 × 1.25 × 2.40
(Vivienda 10): 1 × 1.00 × 2.40</t>
  </si>
  <si>
    <t xml:space="preserve">Color: cromado</t>
  </si>
  <si>
    <t xml:space="preserve">ARMARIO MODULAR PUERTAS ABATIBLESBlock de armario para empotrar de dos hojas abatibles, de tablero aglomerado melamínico, de 16 mm de espesor, en costados, techo, suelo y división de maletero, y de 10 mm de espesor en el fondo; hoja de 19 mm de espesor y canto de 1,4 mm en PVC; barras de colgar en aluminio dorado, estriado y antidoblante, con soportes laterales de igual color; bisagras rectas de color cromado (4 unidades por puerta) y tiradores de color cromado para puertas abatibles. Incluso precerco, módulos columna y baldas de división en maletero, molduras en MDF plastificadas, tapajuntas, zócalo y demás herrajes. Elaborado en taller, con ajuste y fijación en obra. Totalmente montado.</t>
  </si>
  <si>
    <t xml:space="preserve">LAF010b</t>
  </si>
  <si>
    <t xml:space="preserve">ARMARIO MODULAR/SIN PUERTAS</t>
  </si>
  <si>
    <t xml:space="preserve">AE2: 15 × 3.30 × 2.40
(Vivienda 5): 1 × 3.35 × 2.40
AE3: 16 × 1.60 × 2.40</t>
  </si>
  <si>
    <t xml:space="preserve">ARMARIO MODULAR/SIN PUERTASBlock de armario para empotrar, de tablero aglomerado melamínico, de 16 mm de espesor, en costados, techo, suelo y división de maletero, y de 10 mm de espesor en el fondo; hoja de 19 mm de espesor y canto de 1,4 mm en PVC; barras de colgar en aluminio dorado, estriado y antidoblante, con soportes laterales de igual color. Incluso módulos columna y baldas de división en maletero, molduras en MDF plastificadas, tapajuntas, zócalo y demás herrajes. Elaborado en taller, con ajuste y fijación en obra. Totalmente montado.</t>
  </si>
  <si>
    <t xml:space="preserve">RSL020b</t>
  </si>
  <si>
    <t xml:space="preserve">RODAPIÉ MDF</t>
  </si>
  <si>
    <t xml:space="preserve">PAREADO TIPO
PLANTA BAJA
Vestíbulo: 14 × 7.00
Dormitorio 1: 14 × 12.55
Salón-comedor-cocina: 14 × 18.20
PLANTA PRIMERA
Distribuidor: 14 × 9.00
Dormitorio principal: 14 × 21.70
Baño Principal: 14 × 2.95
Dormitorio 2: 14 × 14.30
Dormitorio 3: 14 × 15.60
AISLADA TIPO 1 (VIVIENDA 5)
PLANTA BAJA
Vestíbulo: 1 × 7.00
Dormitorio 1: 1 × 12.55
Salón-comedor-cocina: 1 × 18.20
PLANTA PRIMERA
Distribuidor: 1 × 9.00
Dormitorio principal: 1 × 21.70
Baño Principal: 1 × 2.95
Dormitorio 2: 1 × 14.55
Dormitorio 3: 1 × 16.15
AISLADA TIPO 2 (VIVIENDA 10)
PLANTA BAJA
Vestíbulo: 1 × 7.20
Dormitorio 1: 1 × 12.50
Salón-comedor-cocina: 1 × 18.80
PLANTA PRIMERA
Distribuidor: 1 × 7.90
Dormitorio principal: 1 × 21.20
Baño Principal: 1 × 2.85
Dormitorio 2: 1 × 14.30
Dormitorio 3: 1 × 16.20</t>
  </si>
  <si>
    <t xml:space="preserve">Medidas: 90x18mm · Color: blanco</t>
  </si>
  <si>
    <t xml:space="preserve">RODAPIÉ MDFRodapié de MDF, de 90x18 mm, recubierto con una lámina plástica color blanco, fijado al paramento mediante adhesivo de montaje. Incluso replanteo, cortes, resolución de esquinas, uniones y encuentros, pequeño material auxiliar y limpieza final.</t>
  </si>
  <si>
    <t xml:space="preserve">Névola · Carpintería exterior y cerrajería · 16 viviendas</t>
  </si>
  <si>
    <t xml:space="preserve">Capítulo C.11 del proyecto de ejecución (BC3 de julio de 2026). Medición de toda la promoción y su desglose tal como viene en el proyecto. Precios del proyecto (CYPE, PEM, sin IVA), solo como referencia.</t>
  </si>
  <si>
    <t xml:space="preserve">0804</t>
  </si>
  <si>
    <t xml:space="preserve">PUERTA ENTRADA ALUMINIO/BLOCK DE SEGURIDAD</t>
  </si>
  <si>
    <t xml:space="preserve">PE1: 16 × 1.00</t>
  </si>
  <si>
    <t xml:space="preserve">Medidas: 82,5x210cm · Color: RAL 7016</t>
  </si>
  <si>
    <t xml:space="preserve">PUERTA ENTRADA ALUMINIO/BLOCK DE SEGURIDADSuministro y montaje de puerta de entrada de aluminio termolacado en polvo a 210°C, block de seguridad, de 82,5x210 cm. Compuesta de: hoja de 50 mm de espesor total, construida con dos chapas de aluminio de 1,2 mm de espesor, con alma de madera blindada con chapa de hierro acerado de 1 mm y macizo especial en todo el perímetro de la hoja y herraje, estampación con embutición profunda en doble relieve a dos caras, acabado en color RAL 7016; marcos especiales de extrusión de aluminio reforzado de 1,6 mm de espesor, de igual terminación que las hojas, con burlete perimétrico. Incluso premarco de acero galvanizado con garras de anclaje a obra, cerradura especial con tres puntos de cierre con bombín de seguridad, tres bisagras de seguridad antipalanca, burlete cortavientos, mirilla gran angular, manivela interior, pomo, tirador y aldaba exteriores, espuma de poliuretano para relleno de la holgura entre marco y muro, sellado perimetral de juntas por medio de un cordón de silicona neutra y ajuste final en obra. Elaborada en taller, con clasificación a la permeabilidad al aire según UNE-EN 12207, a la estanqueidad al agua según UNE-EN 12208 y a la resistencia a la carga del viento según UNE-EN 12210. Totalmente montada y probada.</t>
  </si>
  <si>
    <t xml:space="preserve">LCV015</t>
  </si>
  <si>
    <t xml:space="preserve">PE1/FIJO (sin persiana)</t>
  </si>
  <si>
    <t xml:space="preserve">Medidas: 500x2200mm · Color: RAL 7016; WSWS Blanco · Marca/serie: KÖMMERLING, SAINT GOBAIN, SIKA</t>
  </si>
  <si>
    <t xml:space="preserve">PE1/FIJO (sin persiana)Ventanal fijo de PVC, serie Eurofutur 70 "KÖMMERLING", dimensiones 500x2200 mm, acabado estándar en la cara interior en color WSWS Blanco y acabado foliado en la cara exterior, color RAL 7016, perfiles de 70 mm de anchura, fabricados bajo formulación Greenline®, sin plomo ni estabilizantes pesados, soldados a inglete, que incorporan cinco cámaras interiores, tanto en la sección de la hoja como en la del marco, para mejora del aislamiento térmico; galce con pendiente del 5% para facilitar el desagüe; con refuerzos interiores, según UNE-EN 14351-1; transmitancia térmica del marco: Uh,m = desde 1,3 W/(m²K); espesor máximo del acristalamiento: 40 mm; compuesta por marco, hojas, herrajes de colgar y apertura, elementos de estanqueidad y accesorios homologados, con clasificación a la permeabilidad al aire clase 4, según UNE-EN 12207, clasificación a la estanqueidad al agua clase E1650, según UNE-EN 12208, y clasificación a la resistencia a la carga del viento clase C5, según UNE-EN 12210, con premarco y sin persiana. Incluso limpieza del premarco ya instalado, alojamiento y calzado del marco en el premarco, fijación del marco al premarco con tornillos de acero galvanizado.Incluido doble acristalamiento SGG CLIMALIT PLUS PLANITHERM XN F2 4/12 argón 90%/55.2 "SAINT GOBAIN", conjunto formado por vidrio exterior PLANITHERM XN de 4 mm, con capa de baja emisividad térmica incorporada en la cara interior, cámara de gas deshidratada con perfil separador de aluminio y doble sellado perimetral, de 12 mm, rellena de gas argón y vidrio interior STADIP PROTECT de 5+5 mm, compuesto por dos lunas de vidrio laminar de 5 mm unidas mediante dos láminas incoloras de butiral de polivinilo, para hojas de vidrio de superficie entre 3 y 4 m²; 26 mm de espesor total, fijado sobre carpintería con acuñado mediante calzos de apoyo perimetrales y laterales, sellado en frío con silicona Sikasil WS-305-N "SIKA", compatible con el material soporte, para hojas de vidrio de superficie entre 3 y 4 m².Incluye: Colocación, calzado, montaje y ajuste en la carpintería. Sellado final de estanqueidad. Señalización de las hojas.Criterio de medición de proyecto: Superficie de carpintería a acristalar, según documentación gráfica de Proyecto, incluyendo en cada hoja vidriera las dimensiones del bastidor.Criterio de medición de obra: Se medirá la superficie realmente ejecutada según especificaciones de Proyecto, sumando, para cada una de las piezas, la superficie resultante de redondear por exceso cada una de sus aristas a múltiplos de 30 mm.Criterio de valoración económica: El precio incluye el sistema de triple barrera.Incluye: Colocación del premarco. Colocación de la carpintería sobre el premarco. Ajuste final de la hoja.Criterio de medición de proyecto: Número de unidades previstas, según documentación gráfica de Proyecto.Criterio de medición de obra: Se medirá el número de unidades realmente ejecutadas según especificaciones de Proyecto.</t>
  </si>
  <si>
    <t xml:space="preserve">LCV015j</t>
  </si>
  <si>
    <t xml:space="preserve">PE2/PUERTA 1 HOJA + FIJO LATERAL (con persiana)</t>
  </si>
  <si>
    <t xml:space="preserve">PE2: 16 × 1.00</t>
  </si>
  <si>
    <t xml:space="preserve">Medidas: 2800x2200mm · Color: RAL 7016; WSWS Blanco; a · Marca/serie: KÖMMERLING, SAINT GOBAIN, SIKA</t>
  </si>
  <si>
    <t xml:space="preserve">PE2/PUERTA 1 HOJA + FIJO LATERAL (con persiana)Puerta de PVC, serie Eurofutur 70 "KÖMMERLING", una hoja practicable con apertura hacia el interior y fijo lateral, dimensiones 2800x2200 mm, anchura del fijo 1800 mm, compuesta de marco, hoja y junquillos, acabado estándar en la cara interior en color WSWS Blanco y acabado foliado en la cara exterior, color RAL 7016, perfiles de 70 mm de anchura, fabricados bajo formulación Greenline®, sin plomo ni estabilizantes pesados, soldados a inglete, que incorporan cinco cámaras interiores, tanto en la sección de la hoja como en la del marco, para mejora del aislamiento térmico; galce con pendiente del 5% para facilitar el desagüe; con refuerzos interiores, juntas de estanqueidad de EPDM manilla y herrajes, según UNE-EN 14351-1; transmitancia térmica del marco: Uh,m = desde 1,3 W/(m²K); espesor máximo del acristalamiento: 40 mm; compuesta por marco, hojas, herrajes de colgar y apertura, elementos de estanqueidad y accesorios homologados, con clasificación a la permeabilidad al aire clase 4, según UNE-EN 12207, clasificación a la estanqueidad al agua clase E1650, según UNE-EN 12208, y clasificación a la resistencia a la carga del viento clase C2, según UNE-EN 12210, con premarco y cajón de persiana Rolaplus incorporado, acabado foliado en la cara exterior, color a elegir, persiana enrollable de lamas de aluminio inyectado, con aislamiento térmico, con accionamiento manual con cinta y recogedor. Incluso limpieza del premarco ya instalado, alojamiento y calzado del marco en el premarco, fijación del marco al premarco con tornillos de acero galvanizado.Incluido doble acristalamiento SGG CLIMALIT PLUS PLANITHERM XN F2 4/12 argón 90%/55.2 "SAINT GOBAIN", conjunto formado por vidrio exterior PLANITHERM XN de 4 mm, con capa de baja emisividad térmica incorporada en la cara interior, cámara de gas deshidratada con perfil separador de aluminio y doble sellado perimetral, de 12 mm, rellena de gas argón y vidrio interior STADIP PROTECT de 5+5 mm, compuesto por dos lunas de vidrio laminar de 5 mm unidas mediante dos láminas incoloras de butiral de polivinilo, para hojas de vidrio de superficie entre 3 y 4 m²; 26 mm de espesor total, fijado sobre carpintería con acuñado mediante calzos de apoyo perimetrales y laterales, sellado en frío con silicona Sikasil WS-305-N "SIKA", compatible con el material soporte, para hojas de vidrio de superficie entre 3 y 4 m².Incluye: Colocación, calzado, montaje y ajuste en la carpintería. Sellado final de estanqueidad. Señalización de las hojas.Criterio de medición de proyecto: Superficie de carpintería a acristalar, según documentación gráfica de Proyecto, incluyendo en cada hoja vidriera las dimensiones del bastidor.Criterio de medición de obra: Se medirá la superficie realmente ejecutada según especificaciones de Proyecto, sumando, para cada una de las piezas, la superficie resultante de redondear por exceso cada una de sus aristas a múltiplos de 30 mm.Criterio de valoración económica: El precio incluye el sistema de triple barrera.Incluye: Colocación del premarco. Colocación de la carpintería sobre el premarco. Ajuste final de la hoja.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</si>
  <si>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LCV015i</t>
  </si>
  <si>
    <t xml:space="preserve">PE3/PUERTA 1 HOJA + FIJO LATERAL (con persiana)</t>
  </si>
  <si>
    <t xml:space="preserve">PE3: 16 × 1.00</t>
  </si>
  <si>
    <t xml:space="preserve">Medidas: 1900x2200mm · Color: RAL 7016; WSWS Blanco; a · Marca/serie: KÖMMERLING, SAINT GOBAIN, SIKA</t>
  </si>
  <si>
    <t xml:space="preserve">PE3/PUERTA 1 HOJA + FIJO LATERAL (con persiana)Puerta de PVC, serie Eurofutur 70 "KÖMMERLING", una hoja practicable con apertura hacia el interior y fijo lateral, dimensiones 1900x2200 mm, anchura del fijo 900 mm, compuesta de marco, hoja y junquillos, acabado estándar en la cara interior en color WSWS Blanco y acabado foliado en la cara exterior, color RAL 7016, perfiles de 70 mm de anchura, fabricados bajo formulación Greenline®, sin plomo ni estabilizantes pesados, soldados a inglete, que incorporan cinco cámaras interiores, tanto en la sección de la hoja como en la del marco, para mejora del aislamiento térmico; galce con pendiente del 5% para facilitar el desagüe; con refuerzos interiores, juntas de estanqueidad de EPDM manilla y herrajes, según UNE-EN 14351-1; transmitancia térmica del marco: Uh,m = desde 1,3 W/(m²K); espesor máximo del acristalamiento: 40 mm; compuesta por marco, hojas, herrajes de colgar y apertura, elementos de estanqueidad y accesorios homologados, con clasificación a la permeabilidad al aire clase 4, según UNE-EN 12207, clasificación a la estanqueidad al agua clase E1650, según UNE-EN 12208, y clasificación a la resistencia a la carga del viento clase C2, según UNE-EN 12210, con premarco y cajón de persiana Rolaplus incorporado, acabado foliado en la cara exterior, color a elegir, persiana enrollable de lamas de aluminio inyectado, con aislamiento térmico, con accionamiento manual con cinta y recogedor. Incluso limpieza del premarco ya instalado, alojamiento y calzado del marco en el premarco, fijación del marco al premarco con tornillos de acero galvanizado.Incluido doble acristalamiento SGG CLIMALIT PLUS PLANITHERM XN F2 4/12 argón 90%/55.2 "SAINT GOBAIN", conjunto formado por vidrio exterior PLANITHERM XN de 4 mm, con capa de baja emisividad térmica incorporada en la cara interior, cámara de gas deshidratada con perfil separador de aluminio y doble sellado perimetral, de 12 mm, rellena de gas argón y vidrio interior STADIP PROTECT de 5+5 mm, compuesto por dos lunas de vidrio laminar de 5 mm unidas mediante dos láminas incoloras de butiral de polivinilo, para hojas de vidrio de superficie entre 3 y 4 m²; 26 mm de espesor total, fijado sobre carpintería con acuñado mediante calzos de apoyo perimetrales y laterales, sellado en frío con silicona Sikasil WS-305-N "SIKA", compatible con el material soporte, para hojas de vidrio de superficie entre 3 y 4 m².Incluye: Colocación, calzado, montaje y ajuste en la carpintería. Sellado final de estanqueidad. Señalización de las hojas.Criterio de medición de proyecto: Superficie de carpintería a acristalar, según documentación gráfica de Proyecto, incluyendo en cada hoja vidriera las dimensiones del bastidor.Criterio de medición de obra: Se medirá la superficie realmente ejecutada según especificaciones de Proyecto, sumando, para cada una de las piezas, la superficie resultante de redondear por exceso cada una de sus aristas a múltiplos de 30 mm.Criterio de valoración económica: El precio incluye el sistema de triple barrera.Incluye: Colocación del premarco. Colocación de la carpintería sobre el premarco. Ajuste final de la hoja.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</si>
  <si>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LCV015h</t>
  </si>
  <si>
    <t xml:space="preserve">PE4/PUERTA 1 HOJA + FIJO LATERAL (con persiana)</t>
  </si>
  <si>
    <t xml:space="preserve">PE4: 16 × 1.00</t>
  </si>
  <si>
    <t xml:space="preserve">Medidas: 2800x2100mm · Color: RAL 7016; WSWS Blanco; a · Marca/serie: KÖMMERLING, SAINT GOBAIN, SIKA</t>
  </si>
  <si>
    <t xml:space="preserve">PE4/PUERTA 1 HOJA + FIJO LATERAL (con persiana)Puerta de PVC, serie Eurofutur 70 "KÖMMERLING", una hoja practicable con apertura hacia el interior y fijo lateral, dimensiones 2800x2100 mm, anchura del fijo 1800 mm, compuesta de marco, hoja y junquillos, acabado estándar en la cara interior en color WSWS Blanco y acabado foliado en la cara exterior, color RAL 7016, perfiles de 70 mm de anchura, fabricados bajo formulación Greenline®, sin plomo ni estabilizantes pesados, soldados a inglete, que incorporan cinco cámaras interiores, tanto en la sección de la hoja como en la del marco, para mejora del aislamiento térmico; galce con pendiente del 5% para facilitar el desagüe; con refuerzos interiores, juntas de estanqueidad de EPDM manilla y herrajes, según UNE-EN 14351-1; transmitancia térmica del marco: Uh,m = desde 1,3 W/(m²K); espesor máximo del acristalamiento: 40 mm; compuesta por marco, hojas, herrajes de colgar y apertura, elementos de estanqueidad y accesorios homologados, con clasificación a la permeabilidad al aire clase 4, según UNE-EN 12207, clasificación a la estanqueidad al agua clase E1650, según UNE-EN 12208, y clasificación a la resistencia a la carga del viento clase C2, según UNE-EN 12210, con premarco y cajón de persiana Rolaplus incorporado, acabado foliado en la cara exterior, color a elegir, persiana enrollable de lamas de aluminio inyectado, con aislamiento térmico, con accionamiento manual con cinta y recogedor. Incluso limpieza del premarco ya instalado, alojamiento y calzado del marco en el premarco, fijación del marco al premarco con tornillos de acero galvanizado.Incluido doble acristalamiento SGG CLIMALIT PLUS PLANITHERM XN F2 4/12 argón 90%/55.2 "SAINT GOBAIN", conjunto formado por vidrio exterior PLANITHERM XN de 4 mm, con capa de baja emisividad térmica incorporada en la cara interior, cámara de gas deshidratada con perfil separador de aluminio y doble sellado perimetral, de 12 mm, rellena de gas argón y vidrio interior STADIP PROTECT de 5+5 mm, compuesto por dos lunas de vidrio laminar de 5 mm unidas mediante dos láminas incoloras de butiral de polivinilo, para hojas de vidrio de superficie entre 3 y 4 m²; 26 mm de espesor total, fijado sobre carpintería con acuñado mediante calzos de apoyo perimetrales y laterales, sellado en frío con silicona Sikasil WS-305-N "SIKA", compatible con el material soporte, para hojas de vidrio de superficie entre 3 y 4 m².Incluye: Colocación, calzado, montaje y ajuste en la carpintería. Sellado final de estanqueidad. Señalización de las hojas.Criterio de medición de proyecto: Superficie de carpintería a acristalar, según documentación gráfica de Proyecto, incluyendo en cada hoja vidriera las dimensiones del bastidor.Criterio de medición de obra: Se medirá la superficie realmente ejecutada según especificaciones de Proyecto, sumando, para cada una de las piezas, la superficie resultante de redondear por exceso cada una de sus aristas a múltiplos de 30 mm.Criterio de valoración económica: El precio incluye el sistema de triple barrera.Incluye: Colocación del premarco. Colocación de la carpintería sobre el premarco. Ajuste final de la hoja.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</si>
  <si>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LCV015b</t>
  </si>
  <si>
    <t xml:space="preserve">V1/VENTANA 1 HOJA (sin persiana)</t>
  </si>
  <si>
    <t xml:space="preserve">V1: 16</t>
  </si>
  <si>
    <t xml:space="preserve">Medidas: 700x1200mm · Color: RAL 7016; WSWS Blanco · Marca/serie: KÖMMERLING, SAINT GOBAIN, SIKA</t>
  </si>
  <si>
    <t xml:space="preserve">V1/VENTANA 1 HOJA (sin persiana)Ventana de PVC, serie Eurofutur 70 "KÖMMERLING", una hoja oscilobatiente con apertura hacia el interior, dimensiones 700x1200 mm, compuesta de marco, hoja y junquillos, acabado estándar en la cara interior en color WSWS Blanco y acabado foliado en la cara exterior, color RAL 7016, perfiles de 70 mm de anchura, fabricados bajo formulación Greenline®, sin plomo ni estabilizantes pesados, soldados a inglete, que incorporan cinco cámaras interiores, tanto en la sección de la hoja como en la del marco, para mejora del aislamiento térmico; galce con pendiente del 5% para facilitar el desagüe; con refuerzos interiores, juntas de estanqueidad de EPDM, manilla y herrajes, según UNE-EN 14351-1; transmitancia térmica del marco: Uh,m = desde 1,3 W/(m²K); espesor máximo del acristalamiento: 40 mm; compuesta por marco, hojas, herrajes de colgar y apertura, elementos de estanqueidad y accesorios homologados, con clasificación a la permeabilidad al aire clase 4, según UNE-EN 12207, clasificación a la estanqueidad al agua clase E1650, según UNE-EN 12208, y clasificación a la resistencia a la carga del viento clase C5, según UNE-EN 12210, con premarco y sin persiana. Incluso limpieza del premarco ya instalado, alojamiento y calzado del marco en el premarco, fijación del marco al premarco con tornillos de acero galvanizado.Incluido doble acristalamiento SGG CLIMALIT PLUS PLANITHERM XN F2 4/12 argón 90%/55.2 "SAINT GOBAIN", conjunto formado por vidrio exterior PLANITHERM XN de 4 mm, con capa de baja emisividad térmica incorporada en la cara interior, cámara de gas deshidratada con perfil separador de aluminio y doble sellado perimetral, de 12 mm, rellena de gas argón y vidrio interior STADIP PROTECT de 5+5 mm, compuesto por dos lunas de vidrio laminar de 5 mm unidas mediante dos láminas incoloras de butiral de polivinilo, para hojas de vidrio de superficie entre 3 y 4 m²; 26 mm de espesor total, fijado sobre carpintería con acuñado mediante calzos de apoyo perimetrales y laterales, sellado en frío con silicona Sikasil WS-305-N "SIKA", compatible con el material soporte, para hojas de vidrio de superficie entre 3 y 4 m².Incluye: Colocación, calzado, montaje y ajuste en la carpintería. Sellado final de estanqueidad. Señalización de las hojas.Criterio de medición de proyecto: Superficie de carpintería a acristalar, según documentación gráfica de Proyecto, incluyendo en cada hoja vidriera las dimensiones del bastidor.Criterio de medición de obra: Se medirá la superficie realmente ejecutada según especificaciones de Proyecto, sumando, para cada una de las piezas, la superficie resultante de redondear por exceso cada una de sus aristas a múltiplos de 30 mm.Criterio de valoración económica: El precio incluye el sistema de triple barrera.Incluye: Colocación del premarco. Colocación de la carpintería sobre el premarco. Ajuste final de la hoja.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</si>
  <si>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LCV015f</t>
  </si>
  <si>
    <t xml:space="preserve">V2/VENTANA 1 HOJA + FIJO INFERIOR (con persiana)</t>
  </si>
  <si>
    <t xml:space="preserve">V2: 16</t>
  </si>
  <si>
    <t xml:space="preserve">Medidas: 850x2000mm · Color: RAL 7016; WSWS Blanco; a · Marca/serie: KÖMMERLING, SAINT GOBAIN, SIKA</t>
  </si>
  <si>
    <t xml:space="preserve">V2/VENTANA 1 HOJA + FIJO INFERIOR (con persiana)Ventana de PVC, serie Eurofutur 70 "KÖMMERLING", una hoja oscilobatiente con apertura hacia el interior y fijo inferior, dimensiones 850x2000 mm, altura del fijo 800 mm, compuesta de marco, hoja y junquillos, acabado estándar en la cara interior en color WSWS Blanco y acabado foliado en la cara exterior, color RAL 7016, perfiles de 70 mm de anchura, fabricados bajo formulación Greenline®, sin plomo ni estabilizantes pesados, soldados a inglete, que incorporan cinco cámaras interiores, tanto en la sección de la hoja como en la del marco, para mejora del aislamiento térmico; galce con pendiente del 5% para facilitar el desagüe; con refuerzos interiores, juntas de estanqueidad de EPDM manilla y herrajes, según UNE-EN 14351-1; transmitancia térmica del marco: Uh,m = desde 1,3 W/(m²K); espesor máximo del acristalamiento: 40 mm; compuesta por marco, hojas, herrajes de colgar y apertura, elementos de estanqueidad y accesorios homologados, con clasificación a la permeabilidad al aire clase 4, según UNE-EN 12207, clasificación a la estanqueidad al agua clase E1650, según UNE-EN 12208, y clasificación a la resistencia a la carga del viento clase C5, según UNE-EN 12210, con premarco y cajón de persiana Rolaplus incorporado, acabado foliado en la cara exterior, color a elegir, persiana enrollable de lamas de aluminio inyectado, con aislamiento térmico, con accionamiento manual con cinta y recogedor. Incluso limpieza del premarco ya instalado, alojamiento y calzado del marco en el premarco, fijación del marco al premarco con tornillos de acero galvanizado.Incluido doble acristalamiento SGG CLIMALIT PLUS PLANITHERM XN F2 4/12 argón 90%/55.2 "SAINT GOBAIN", conjunto formado por vidrio exterior PLANITHERM XN de 4 mm, con capa de baja emisividad térmica incorporada en la cara interior, cámara de gas deshidratada con perfil separador de aluminio y doble sellado perimetral, de 12 mm, rellena de gas argón y vidrio interior STADIP PROTECT de 5+5 mm, compuesto por dos lunas de vidrio laminar de 5 mm unidas mediante dos láminas incoloras de butiral de polivinilo, para hojas de vidrio de superficie entre 3 y 4 m²; 26 mm de espesor total, fijado sobre carpintería con acuñado mediante calzos de apoyo perimetrales y laterales, sellado en frío con silicona Sikasil WS-305-N "SIKA", compatible con el material soporte, para hojas de vidrio de superficie entre 3 y 4 m².Incluye: Colocación, calzado, montaje y ajuste en la carpintería. Sellado final de estanqueidad. Señalización de las hojas.Criterio de medición de proyecto: Superficie de carpintería a acristalar, según documentación gráfica de Proyecto, incluyendo en cada hoja vidriera las dimensiones del bastidor.Criterio de medición de obra: Se medirá la superficie realmente ejecutada según especificaciones de Proyecto, sumando, para cada una de las piezas, la superficie resultante de redondear por exceso cada una de sus aristas a múltiplos de 30 mm.Criterio de valoración económica: El precio incluye el sistema de triple barrera.Incluye: Colocación del premarco. Colocación de la carpintería sobre el premarco. Ajuste final de la hoja.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</si>
  <si>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LCV015g</t>
  </si>
  <si>
    <t xml:space="preserve">V3-V4/VENTANA 2 HOJAS + FIJO INFERIOR (con persiana)</t>
  </si>
  <si>
    <t xml:space="preserve">V3: 16 × 2.00
V4: 16 × 1.00</t>
  </si>
  <si>
    <t xml:space="preserve">Medidas: 1500x1500mm · Color: RAL 7016; WSWS Blanco; a · Marca/serie: KÖMMERLING, SAINT GOBAIN, SIKA</t>
  </si>
  <si>
    <t xml:space="preserve">V3-V4/VENTANA 2 HOJAS + FIJO INFERIOR (con persiana)Ventana de PVC, serie Eurofutur 70 "KÖMMERLING", una hoja oscilobatiente y otra hoja practicable con apertura hacia el interior y fijo inferior, dimensiones 1500x1500 mm, altura del fijo 300 mm, compuesta de marco, hoja y junquillos, acabado estándar en la cara interior en color WSWS Blanco y acabado foliado en la cara exterior, color RAL 7016, perfiles de 70 mm de anchura, fabricados bajo formulación Greenline®, sin plomo ni estabilizantes pesados, soldados a inglete, que incorporan cinco cámaras interiores, tanto en la sección de la hoja como en la del marco, para mejora del aislamiento térmico; galce con pendiente del 5% para facilitar el desagüe; con refuerzos interiores, juntas de estanqueidad de EPDM, manilla y herrajes, según UNE-EN 14351-1; transmitancia térmica del marco: Uh,m = desde 1,3 W/(m²K); espesor máximo del acristalamiento: 40 mm; compuesta por marco, hojas, herrajes de colgar y apertura, elementos de estanqueidad y accesorios homologados, con clasificación a la permeabilidad al aire clase 4, según UNE-EN 12207, clasificación a la estanqueidad al agua clase E1650, según UNE-EN 12208, y clasificación a la resistencia a la carga del viento clase C5, según UNE-EN 12210, con premarco y cajón de persiana Rolaplus incorporado, acabado foliado en la cara exterior, color a elegir, persiana enrollable de lamas de aluminio inyectado, con aislamiento térmico, con accionamiento manual con cinta y recogedor. Incluso limpieza del premarco ya instalado, alojamiento y calzado del marco en el premarco, fijación del marco al premarco con tornillos de acero galvanizado.Incluido doble acristalamiento SGG CLIMALIT PLUS PLANITHERM XN F2 4/12 argón 90%/55.2 "SAINT GOBAIN", conjunto formado por vidrio exterior PLANITHERM XN de 4 mm, con capa de baja emisividad térmica incorporada en la cara interior, cámara de gas deshidratada con perfil separador de aluminio y doble sellado perimetral, de 12 mm, rellena de gas argón y vidrio interior STADIP PROTECT de 5+5 mm, compuesto por dos lunas de vidrio laminar de 5 mm unidas mediante dos láminas incoloras de butiral de polivinilo, para hojas de vidrio de superficie entre 3 y 4 m²; 26 mm de espesor total, fijado sobre carpintería con acuñado mediante calzos de apoyo perimetrales y laterales, sellado en frío con silicona Sikasil WS-305-N "SIKA", compatible con el material soporte, para hojas de vidrio de superficie entre 3 y 4 m².Incluye: Colocación, calzado, montaje y ajuste en la carpintería. Sellado final de estanqueidad. Señalización de las hojas.Criterio de medición de proyecto: Superficie de carpintería a acristalar, según documentación gráfica de Proyecto, incluyendo en cada hoja vidriera las dimensiones del bastidor.Criterio de medición de obra: Se medirá la superficie realmente ejecutada según especificaciones de Proyecto, sumando, para cada una de las piezas, la superficie resultante de redondear por exceso cada una de sus aristas a múltiplos de 30 mm.Criterio de valoración económica: El precio incluye el sistema de triple barrera.Incluye: Colocación del premarco. Colocación de la carpintería sobre el premarco. Ajuste final de las hojas.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</si>
  <si>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LCV015c</t>
  </si>
  <si>
    <t xml:space="preserve">V5-V6 VENTANA 1 HOJA + FIJO INFERIOR (sin persiana)</t>
  </si>
  <si>
    <t xml:space="preserve">V5: 16 × 1.00
V6: 16 × 1.00</t>
  </si>
  <si>
    <t xml:space="preserve">Medidas: 700x1500mm · Color: RAL 7016; WSWS Blanco · Marca/serie: KÖMMERLING, SAINT GOBAIN, SIKA</t>
  </si>
  <si>
    <t xml:space="preserve">V5-V6 VENTANA 1 HOJA + FIJO INFERIOR (sin persiana)Ventana de PVC, serie Eurofutur 70 "KÖMMERLING", una hoja oscilobatiente con apertura hacia el interior y fijo inferior, dimensiones 700x1500 mm, altura del fijo 300 mm, compuesta de marco, hoja y junquillos, acabado estándar en la cara interior en color WSWS Blanco y acabado foliado en la cara exterior, color RAL 7016, perfiles de 70 mm de anchura, fabricados bajo formulación Greenline®, sin plomo ni estabilizantes pesados, soldados a inglete, que incorporan cinco cámaras interiores, tanto en la sección de la hoja como en la del marco, para mejora del aislamiento térmico; galce con pendiente del 5% para facilitar el desagüe; con refuerzos interiores, juntas de estanqueidad de EPDM manilla y herrajes, según UNE-EN 14351-1; transmitancia térmica del marco: Uh,m = desde 1,3 W/(m²K); espesor máximo del acristalamiento: 40 mm; compuesta por marco, hojas, herrajes de colgar y apertura, elementos de estanqueidad y accesorios homologados, con clasificación a la permeabilidad al aire clase 4, según UNE-EN 12207, clasificación a la estanqueidad al agua clase E1650, según UNE-EN 12208, y clasificación a la resistencia a la carga del viento clase C5, según UNE-EN 12210, con premarco y sin persiana. Incluso limpieza del premarco ya instalado, alojamiento y calzado del marco en el premarco, fijación del marco al premarco con tornillos de acero galvanizado.Incluido doble acristalamiento SGG CLIMALIT PLUS PLANITHERM XN F2 4/12 argón 90%/55.2 "SAINT GOBAIN", conjunto formado por vidrio exterior PLANITHERM XN de 4 mm, con capa de baja emisividad térmica incorporada en la cara interior, cámara de gas deshidratada con perfil separador de aluminio y doble sellado perimetral, de 12 mm, rellena de gas argón y vidrio interior STADIP PROTECT de 5+5 mm, compuesto por dos lunas de vidrio laminar de 5 mm unidas mediante dos láminas incoloras de butiral de polivinilo, para hojas de vidrio de superficie entre 3 y 4 m²; 26 mm de espesor total, fijado sobre carpintería con acuñado mediante calzos de apoyo perimetrales y laterales, sellado en frío con silicona Sikasil WS-305-N "SIKA", compatible con el material soporte, para hojas de vidrio de superficie entre 3 y 4 m².Incluye: Colocación, calzado, montaje y ajuste en la carpintería. Sellado final de estanqueidad. Señalización de las hojas.Criterio de medición de proyecto: Superficie de carpintería a acristalar, según documentación gráfica de Proyecto, incluyendo en cada hoja vidriera las dimensiones del bastidor.Criterio de medición de obra: Se medirá la superficie realmente ejecutada según especificaciones de Proyecto, sumando, para cada una de las piezas, la superficie resultante de redondear por exceso cada una de sus aristas a múltiplos de 30 mm.Criterio de valoración económica: El precio incluye el sistema de triple barrera.Incluye: Colocación del premarco. Colocación de la carpintería sobre el premarco. Ajuste final de la hoja.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</si>
  <si>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LCV015e</t>
  </si>
  <si>
    <t xml:space="preserve">V7/VENTANA 1 HOJA (con persiana)</t>
  </si>
  <si>
    <t xml:space="preserve">AISLADA TIPO 1 (VIVIENDA 5): 1
AISLADA TIPO 1 (VIVIENDA 5): 1</t>
  </si>
  <si>
    <t xml:space="preserve">Medidas: 750x750mm · Color: RAL 7016; WSWS Blanco; a · Marca/serie: KÖMMERLING, SAINT GOBAIN, SIKA</t>
  </si>
  <si>
    <t xml:space="preserve">V7/VENTANA 1 HOJA (con persiana)Ventana de PVC, serie Eurofutur 70 "KÖMMERLING", una hoja practicable con apertura hacia el interior, dimensiones 750x750 mm, compuesta de marco, hoja y junquillos, acabado estándar en la cara interior en color WSWS Blanco y acabado foliado en la cara exterior, color RAL 7016, perfiles de 70 mm de anchura, fabricados bajo formulación Greenline®, sin plomo ni estabilizantes pesados, soldados a inglete, que incorporan cinco cámaras interiores, tanto en la sección de la hoja como en la del marco, para mejora del aislamiento térmico; galce con pendiente del 5% para facilitar el desagüe; con refuerzos interiores, juntas de estanqueidad de EPDM, manilla y herrajes, según UNE-EN 14351-1; transmitancia térmica del marco: Uh,m = desde 1,3 W/(m²K); espesor máximo del acristalamiento: 40 mm; compuesta por marco, hojas, herrajes de colgar y apertura, elementos de estanqueidad y accesorios homologados, con clasificación a la permeabilidad al aire clase 4, según UNE-EN 12207, clasificación a la estanqueidad al agua clase E1650, según UNE-EN 12208, y clasificación a la resistencia a la carga del viento clase C5, según UNE-EN 12210, con premarco y cajón de persiana Rolaplus incorporado, acabado foliado en la cara exterior, color a elegir, persiana enrollable de lamas de aluminio inyectado, con aislamiento térmico, con accionamiento manual con cinta y recogedor. Incluso limpieza del premarco ya instalado, alojamiento y calzado del marco en el premarco, fijación del marco al premarco con tornillos de acero galvanizado.Incluido doble acristalamiento SGG CLIMALIT PLUS PLANITHERM XN F2 4/12 argón 90%/55.2 "SAINT GOBAIN", conjunto formado por vidrio exterior PLANITHERM XN de 4 mm, con capa de baja emisividad térmica incorporada en la cara interior, cámara de gas deshidratada con perfil separador de aluminio y doble sellado perimetral, de 12 mm, rellena de gas argón y vidrio interior STADIP PROTECT de 5+5 mm, compuesto por dos lunas de vidrio laminar de 5 mm unidas mediante dos láminas incoloras de butiral de polivinilo, para hojas de vidrio de superficie entre 3 y 4 m²; 26 mm de espesor total, fijado sobre carpintería con acuñado mediante calzos de apoyo perimetrales y laterales, sellado en frío con silicona Sikasil WS-305-N "SIKA", compatible con el material soporte, para hojas de vidrio de superficie entre 3 y 4 m².Incluye: Colocación, calzado, montaje y ajuste en la carpintería. Sellado final de estanqueidad. Señalización de las hojas.Criterio de medición de proyecto: Superficie de carpintería a acristalar, según documentación gráfica de Proyecto, incluyendo en cada hoja vidriera las dimensiones del bastidor.Criterio de medición de obra: Se medirá la superficie realmente ejecutada según especificaciones de Proyecto, sumando, para cada una de las piezas, la superficie resultante de redondear por exceso cada una de sus aristas a múltiplos de 30 mm.Criterio de valoración económica: El precio incluye el sistema de triple barrera.Incluye: Colocación del premarco. Colocación de la carpintería sobre el premarco. Ajuste final de la hoja.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</si>
  <si>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LCV015d</t>
  </si>
  <si>
    <t xml:space="preserve">F1/FIJO (con persiana)</t>
  </si>
  <si>
    <t xml:space="preserve">Medidas: 900x2000mm · Color: RAL 7016; WSWS Blanco; a · Marca/serie: KÖMMERLING, SAINT GOBAIN, SIKA</t>
  </si>
  <si>
    <t xml:space="preserve">F1/FIJO (con persiana)Ventanal fijo de PVC, serie Eurofutur 70 "KÖMMERLING", dimensiones 900x2000 mm, acabado estándar en la cara interior en color WSWS Blanco y acabado foliado en la cara exterior, color RAL 7016, perfiles de 70 mm de anchura, fabricados bajo formulación Greenline®, sin plomo ni estabilizantes pesados, soldados a inglete, que incorporan cinco cámaras interiores, tanto en la sección de la hoja como en la del marco, para mejora del aislamiento térmico; galce con pendiente del 5% para facilitar el desagüe; con refuerzos interiores, según UNE-EN 14351-1; transmitancia térmica del marco: Uh,m = desde 1,3 W/(m²K); espesor máximo del acristalamiento: 40 mm; compuesta por marco, hojas, herrajes de colgar y apertura, elementos de estanqueidad y accesorios homologados, con clasificación a la permeabilidad al aire clase 4, según UNE-EN 12207, clasificación a la estanqueidad al agua clase E1650, según UNE-EN 12208, y clasificación a la resistencia a la carga del viento clase C5, según UNE-EN 12210, con premarco y cajón de persiana Rolaplus incorporado, acabado foliado en la cara exterior, color a elegir, persiana enrollable de lamas de aluminio inyectado, con aislamiento térmico, con accionamiento manual con cinta y recogedor. Incluso limpieza del premarco ya instalado, alojamiento y calzado del marco en el premarco, fijación del marco al premarco con tornillos de acero galvanizado.Incluido doble acristalamiento SGG CLIMALIT PLUS PLANITHERM XN F2 4/12 argón 90%/55.2 "SAINT GOBAIN", conjunto formado por vidrio exterior PLANITHERM XN de 4 mm, con capa de baja emisividad térmica incorporada en la cara interior, cámara de gas deshidratada con perfil separador de aluminio y doble sellado perimetral, de 12 mm, rellena de gas argón y vidrio interior STADIP PROTECT de 5+5 mm, compuesto por dos lunas de vidrio laminar de 5 mm unidas mediante dos láminas incoloras de butiral de polivinilo, para hojas de vidrio de superficie entre 3 y 4 m²; 26 mm de espesor total, fijado sobre carpintería con acuñado mediante calzos de apoyo perimetrales y laterales, sellado en frío con silicona Sikasil WS-305-N "SIKA", compatible con el material soporte, para hojas de vidrio de superficie entre 3 y 4 m².Incluye: Colocación, calzado, montaje y ajuste en la carpintería. Sellado final de estanqueidad. Señalización de las hojas.Criterio de medición de proyecto: Superficie de carpintería a acristalar, según documentación gráfica de Proyecto, incluyendo en cada hoja vidriera las dimensiones del bastidor.Criterio de medición de obra: Se medirá la superficie realmente ejecutada según especificaciones de Proyecto, sumando, para cada una de las piezas, la superficie resultante de redondear por exceso cada una de sus aristas a múltiplos de 30 mm.Criterio de valoración económica: El precio incluye el sistema de triple barrera.Incluye: Colocación del premarco. Colocación de la carpintería sobre el premarco. Ajuste final de la hoja.Criterio de medición de proyecto: Número de unidades previstas, según documentación gráfica de Proyecto.Criterio de medición de obra: Se medirá el número de unidades realmente ejecutadas según especificaciones de Proyecto.</t>
  </si>
  <si>
    <t xml:space="preserve">HRL040</t>
  </si>
  <si>
    <t xml:space="preserve">RECERCADO ALUMINIO</t>
  </si>
  <si>
    <t xml:space="preserve">PE2: 16 × 1.00 × 7.20
PE3: 16 × 1.00 × 6.30
PE4: 16 × 1.00 × 7.00
V1: 16 × 1.00 × 3.80
V2: 16 × 1.00 × 5.70
V3: 16 × 2.00 × 6.00
V4: 16 × 1.00 × 6.00
V5: 16 × 1.00 × 4.40
V6: 16 × 1.00 × 4.40
V7 (AISLADAS): 2 × 1.00 × 3.00
F1 (AISLADAS): 2 × 1.00 × 5.80</t>
  </si>
  <si>
    <t xml:space="preserve">Color: RAL 7016</t>
  </si>
  <si>
    <t xml:space="preserve">RECERCADO ALUMINIORecercado en ventanas y puertas de aluminio formado por vierteaguas, jambas y dintel de chapa plegada de aluminio lacado en color RAL 7016, con 60 micras de espesor mínimo de película seca, espesor 1,2 mm, desarrollo 400 mm y 3 pliegues, con goterón, empotrado en las jambas; colocación con adhesivo bituminoso de aplicación en frío; y sellado de las juntas entre piezas y de las uniones con los muros con sellador adhesivo monocomponente.</t>
  </si>
  <si>
    <t xml:space="preserve">FDY010</t>
  </si>
  <si>
    <t xml:space="preserve">BARANDILLA MODULAR VIDRIO</t>
  </si>
  <si>
    <t xml:space="preserve">TERRAZA PLANTA PRIMERA
PAREADO TIPO: 14 × 7.15
AISLADA TIPO 1 (VIVIENDA 5): 1 × 7.15
AISLADA TIPO 2 (VIVIENDA 10): 1 × 6.60</t>
  </si>
  <si>
    <t xml:space="preserve">Marca/serie: COMENZA</t>
  </si>
  <si>
    <t xml:space="preserve">BARANDILLA MODULAR VIDRIOSistema de barandilla modular GlassFit SV-1401 Top "COMENZA", sin pasamanos, con perfil de montaje de aluminio anodizado, con sistema de nivelación interior Level In, capaz de soportar una fuerza horizontal uniformemente repartida de 0,8 kN/m aplicada en el borde superior del vidrio según CTE DB SE-AE, de altura máxima 110 cm, para vidrio laminar de seguridad, compuesto por dos lunas de 10 mm de espesor unidas mediante dos láminas incoloras de butiral de polivinilo, de 0,38 mm de espesor cada una; fijado sobre hormigón mediante anclaje químico con varilla roscada de acero zincado.</t>
  </si>
  <si>
    <t xml:space="preserve">0816</t>
  </si>
  <si>
    <t xml:space="preserve">CAPERUZA METÁLICA CHIMENEA 80X60 cm</t>
  </si>
  <si>
    <t xml:space="preserve">16 × 1.00</t>
  </si>
  <si>
    <t xml:space="preserve">Medidas: 80x60cm, 50x20x1,50mm, 30x30x1,50mm</t>
  </si>
  <si>
    <t xml:space="preserve">CAPERUZA METÁLICA CHIMENEA 80X60 cmCaperuza metálica para remate de chimenea de medidas exteriores 80x60 cm elaborada en taller, formada por seis recercados con tubo hueco de acero laminado en frío de 50x20x1,50 mm, patillas de sujeción y recibido de tubo de 30x30x1,50 mm en esquinas, con chapa metálica negra de 1,50 mm de espesor soldada a parte superior i/pintura tipo ferro recibido de albañilería y montaje en obra.</t>
  </si>
  <si>
    <t xml:space="preserve">404</t>
  </si>
  <si>
    <t xml:space="preserve">PLACA DE ANCLAJE 200x200x15 mm</t>
  </si>
  <si>
    <t xml:space="preserve">PERGOLA JARDÍN: 16 × 6.00
PERGOLA  APARCAMIENTO
PAREADO TIPO: 14 × 4.00
AISLADA TIPO 1 (VIVIENDA 5): 1 × 14.00
AISLADA TIPO 2 (VIVIENDA 10): 1 × 14.00</t>
  </si>
  <si>
    <t xml:space="preserve">Medidas: 200x200mm · Color: RAL 7016</t>
  </si>
  <si>
    <t xml:space="preserve">PLACA DE ANCLAJE 200x200x15 mmSuministro y montaje de placa de anclaje de acero UNE-EN 10025 S275JR en perfil plano, de 200x200 mm y espesor 15 mm, con 4 pernos soldados, de acero corrugado UNE-EN 10080 B 500 S de 12 mm de diámetro y 50 cm de longitud total. Trabajado y montado en taller. Incluso p/p de taladro central, preparación de bordes, biselado alrededor del taladro para mejorar la unión del perno a la cara superior de la placa, soldaduras, cortes, pletinas, piezas especiales, despuntes y reparación en obra de cuantos desperfectos se originen por razones de transporte, manipulación o montaje. Incluye acabado de esmalte sintético, color RAL 7016, acabado satinado, sobre superficie de hierro o acero, limpieza y preparación de la superficie a pintar, mediante medios manuales hasta dejarla exenta de grasas, dos manos de imprimación, con un espesor mínimo de película seca de 55 micras por mano (rendimiento: 0,139 l/m²) y dos manos de acabado con esmalte sintético con un espesor mínimo de película seca de 40 micras por mano (rendimiento: 0,091 l/m²).</t>
  </si>
  <si>
    <t xml:space="preserve">2001</t>
  </si>
  <si>
    <t xml:space="preserve">ACERO LAMINADO S275JR ESTRUCTURA</t>
  </si>
  <si>
    <t xml:space="preserve">kg</t>
  </si>
  <si>
    <t xml:space="preserve">PÉRGOLA JARDÍN
PAREADO TIPO
Pilares  #100.100.5 (14.40 Kg/m): 14 × 4.00 × 2.75 × 14.40
Correas principales  #100.100.5 (14.40 Kg/m): 14 × 19.60 × 14.40
Correas secundarias  #100.50.5 (10.80 Kg/m): 14 × 30.60 × 10.80
AISLADA TIPO 1 (VIVIENDA 5)
Pilares  #100.100.5 (14.40 Kg/m): 1 × 4.00 × 2.75 × 14.40
Correas principales  #100.100.5 (14.40 Kg/m): 1 × 18.90 × 14.40
Correas secundarias  #100.50.5 (10.80 Kg/m): 1 × 39.00 × 10.80
AISLADA TIPO 2 (VIVIENDA 10)
Pilares  #100.100.5 (14.40 Kg/m): 1 × 4.00 × 2.75 × 14.40
Correas principales  #100.100.5 (14.40 Kg/m): 1 × 18.80 × 14.40
Correas secundarias  #100.50.5 (10.80 Kg/m): 1 × 37.45 × 10.80</t>
  </si>
  <si>
    <t xml:space="preserve">ACERO LAMINADO S275JR ESTRUCTURAAcero laminado S275-JR en perfiles laminados para elementos estructurales metálicos, para vigas, pilares y correas, con una tensión de rotura de 410 N/mm², unidas entre sí mediante soldadura con electrodo básico i/p.p. despuntes, dos manos de imprimación con pintura de minio de plomo totalmente montado, según CTE/ DB-S E-A. Incluye acabado de esmalte sintético, color RAL 7016, acabado satinado, sobre superficie de hierro o acero, limpieza y preparación de la superficie a pintar, mediante medios manuales hasta dejarla exenta de grasas, dos manos de imprimación, con un espesor mínimo de película seca de 55 micras por mano (rendimiento: 0,139 l/m²) y dos manos de acabado con esmalte sintético con un espesor mínimo de película seca de 40 micras por mano (rendimiento: 0,091 l/m²). Los trabajos serán realizados por soldador cualificado según norma UNE-EN 287-1:1992.</t>
  </si>
  <si>
    <t xml:space="preserve">LEL010</t>
  </si>
  <si>
    <t xml:space="preserve">PUERTA APEROS</t>
  </si>
  <si>
    <t xml:space="preserve">PUERTA  APEROS: 1</t>
  </si>
  <si>
    <t xml:space="preserve">Medidas: 90x210cm · Color: RAL 7016</t>
  </si>
  <si>
    <t xml:space="preserve">PUERTA APEROSSuministro y montaje de puerta de entrada de aluminio termolacado en polvo a 210°C, block de seguridad, de 90x210 cm. Compuesta de: hoja de 50 mm de espesor total, construida con dos chapas de aluminio de 1,2 mm de espesor, con alma de madera blindada con chapa de hierro acerado de 1 mm y macizo especial en todo el perímetro de la hoja y herraje, estampación con embutición profunda en doble relieve a una cara, acabado en color RAL 7016; marcos especiales de extrusión de aluminio reforzado de 1,6 mm de espesor, de igual terminación que las hojas, con burlete perimétrico. Incluso premarco de acero galvanizado con garras de anclaje a obra, cerradura especial con tres puntos de cierre con bombín de seguridad, tres bisagras de seguridad antipalanca, burlete cortavientos, mirilla gran angular, manivela interior, pomo, tirador y aldaba exteriores, espuma de poliuretano para relleno de la holgura entre marco y muro, sellado perimetral de juntas por medio de un cordón de silicona neutra y ajuste final en obra. Elaborada en taller, con clasificación a la permeabilidad al aire según UNE-EN 12207, a la estanqueidad al agua según UNE-EN 12208 y a la resistencia a la carga del viento según UNE-EN 12210. Totalmente montada y probada.</t>
  </si>
  <si>
    <t xml:space="preserve">SEE010</t>
  </si>
  <si>
    <t xml:space="preserve">ESCALERA ESCAMOTEABLE DE ACERO</t>
  </si>
  <si>
    <t xml:space="preserve">Cuarto técnico piscinas: 1</t>
  </si>
  <si>
    <t xml:space="preserve">Medidas: 120x60cm</t>
  </si>
  <si>
    <t xml:space="preserve">ESCALERA ESCAMOTEABLE DE ACEROEscalera escamoteable de acero lacado, de 3 tramos para salvar una altura entre plantas de 220 a 280 cm y para un hueco de 120x60 cm, con tapa interior, barra de apertura y cajón, recibido con mortero de cemento, industrial, M-5. Totalmente montada.</t>
  </si>
  <si>
    <t xml:space="preserve">RTC021</t>
  </si>
  <si>
    <t xml:space="preserve">TRAMPILLA METÁLICA</t>
  </si>
  <si>
    <t xml:space="preserve">Cuarto técnico piscinas: 1
Cuart</t>
  </si>
  <si>
    <t xml:space="preserve">TRAMPILLA METÁLICATrampilla de registro de acero lacado, abatible, para acceso a cuarto de instalaciones, en hueco de losa de hormigón armado, incluídas fijaciones y accesorios,totalmente montada.</t>
  </si>
  <si>
    <t xml:space="preserve">LFA010</t>
  </si>
  <si>
    <t xml:space="preserve">PUERTA RF CUARTO PRODUCTOS QUÍMICOS</t>
  </si>
  <si>
    <t xml:space="preserve">PRF (cuarto productos químicos piscina): 1</t>
  </si>
  <si>
    <t xml:space="preserve">Medidas: 800x2000mm, 300x150mm · Color: blanco</t>
  </si>
  <si>
    <t xml:space="preserve">PUERTA RF CUARTO PRODUCTOS QUÍMICOS Puerta cortafuegos pivotante homologada, EI2 60-C5, de una hoja de 63 mm de espesor, 800x2000 mm de luz y altura de paso, acabado lacado en color blanco formada por 2 chapas de acero galvanizado de 0,8 mm de espesor, plegadas, ensambladas y montadas, con cámara intermedia de lana de roca de alta densidad y placas de cartón yeso, sobre cerco de acero galvanizado de 1,5 mm de espesor con junta intumescente y garras de anclaje a obra, incluso cierrapuertas para uso moderado, rejilla cortafuegos de material intumescente de 300x150 mm. Elaborada en taller, con ajuste y fijación en obra. Totalmente montada y probada.</t>
  </si>
  <si>
    <t xml:space="preserve">Névola · Pintura · 16 viviendas</t>
  </si>
  <si>
    <t xml:space="preserve">Capítulo C.12 del proyecto de ejecución (BC3 de julio de 2026). Medición de toda la promoción y su desglose tal como viene en el proyecto. Precios del proyecto (CYPE, PEM, sin IVA), solo como referencia.</t>
  </si>
  <si>
    <t xml:space="preserve">0901</t>
  </si>
  <si>
    <t xml:space="preserve">PINTURA PLÁSTICA MATE BLANCA VERTICAL</t>
  </si>
  <si>
    <t xml:space="preserve">PAREADO TIPO
PLANTA BAJA
Vestíbulo: 14 × 9.25 × 2.60
Dormitorio 1: 14 × 12.55 × 2.60
Escalera: 14 × 6.00 × 2.60
Salón-comedor-cocina: 14 × 21.20 × 2.60
PLANTA PRIMERA
Escalera: 14 × 7.70 × 2.40
Distribuidor: 14 × 9.00 × 2.40
Dormitorio principal: 14 × 21.70 × 2.60
Baño Principal: 14 × 2.95 × 2.40
Dormitorio 2: 14 × 14.30 × 2.60
Dormitorio 3: 14 × 15.60 × 2.60
-A descontar &gt; 4.00 m²
PE2: -14 × 2.80 × 2.20
PE3: -14 × 1.90 × 2.20
PE4: -14 × 2.80 × 2.10
AISLADA TIPO 1 (VIVIENDA 5)
PLANTA BAJA
Vestíbulo: 1 × 9.25 × 2.60
Dormitorio 1: 1 × 12.55 × 2.60
Escalera: 1 × 6.00 × 2.60
Salón-comedor-cocina: 1 × 21.20 × 2.60
PLANTA PRIMERA
Escalera: 1 × 7.70 × 2.40
Distribuidor: 1 × 9.00 × 2.40
Dormitorio principal: 1 × 21.70 × 2.60
Baño Principal: 1 × 2.95 × 2.40
Dormitorio 2: 1 × 14.55 × 2.60
Dormitorio 3: 1 × 16.15 × 2.60
-A descontar &gt; 4.00 m²
PE2: -1 × 2.80 × 2.20
PE3: -1 × 1.90 × 2.20
PE4: -1 × 2.80 × 2.10
AISLADA TIPO 2 (VIVIENDA 10)
PLANTA BAJA
Vestíbulo: 1 × 9.20 × 2.60
Dormitorio 1: 1 × 12.50 × 2.60
Escalera: 1 × 6.00 × 2.60
Salón-comedor-cocina: 1 × 22.30 × 2.60
PLANTA PRIMERA
Escalera: 1 × 7.65 × 2.40
Distribuidor: 1 × 7.90 × 2.40
Dormitorio principal: 1 × 21.20 × 2.60
Baño Principal: 1 × 2.85 × 2.40
Dormitorio 2: 1 × 14.30 × 2.60
Dormitorio 3: 1 × 16.20 × 2.60
-A descontar &gt; 4.00 m²
PE2: -1 × 2.80 × 2.20
PE3: -1 × 1.90 × 2.20
PE4: -1 × 2.80 × 2.10
Separación cuarto productos químicos: 2 × 3.20 × 2.50</t>
  </si>
  <si>
    <t xml:space="preserve">PINTURA PLÁSTICA MATE BLANCA VERTICALPintura plástica blanca mate para interior, en superficies verticales, ALPHALUX SF de SIKKENS de alta calidad, al agua 100% libre de disolvente, microporosa, lavable y resistente al frote húmedo según DIN 53778. Sobre superficies muy porosas se aplicará una mano de imprimación transparente y no peliculante al agua ALPHA AQUAFIX de SIKKENS.Criterio de medición: A cinta corrida, descontando huecos mayores de 4,00 m2</t>
  </si>
  <si>
    <t xml:space="preserve">0902</t>
  </si>
  <si>
    <t xml:space="preserve">PINTURA PLÁSTICA MATE BLANCA HORIZONTAL</t>
  </si>
  <si>
    <t xml:space="preserve">PAREADO TIPO
PLANTA BAJA
Vestíbulo: 14 × 5.00
Dormitorio 1: 14 × 9.55
Baño 1: 14 × 3.75
Lavadero: 14 × 4.00
Salón-comedor-cocina: 14 × 37.60
PLANTA PRIMERA
Escalera: 14 × 4.65
Distribuidor: 14 × 3.95
Dormitorio principal: 14 × 17.50
Baño Principal: 14 × 7.10
Dormitorio 2: 14 × 12.10
Dormitorio 3: 14 × 12.00
Baño 2: 14 × 3.85
AISLADA TIPO 1 (VIVIENDA 5)
PLANTA BAJA
Vestíbulo: 1 × 5.00
Dormitorio 1: 1 × 9.55
Baño 1: 1 × 3.75
Lavadero: 1 × 4.00
Salón-comedor-cocina: 1 × 37.50
PLANTA PRIMERA
Escalera: 1 × 4.65
Distribuidor: 1 × 3.95
Dormitorio principal: 1 × 17.50
Baño Principal: 1 × 6.75
Dormitorio 2: 1 × 12.45
Dormitorio 3: 1 × 12.15
Baño 2: 1 × 3.75
AISLADA TIPO 2 (VIVIENDA 10)
PLANTA BAJA
Vestíbulo: 1 × 5.00
Dormitorio 1: 1 × 9.50
Baño 1: 1 × 3.65
Lavadero: 1 × 4.30
Salón-comedor-cocina: 1 × 38.15
PLANTA PRIMERA
Escalera: 1 × 4.65
Distribuidor: 1 × 3.40
Dormitorio principal: 1 × 17.70
Baño Principal: 1 × 6.80
Dormitorio 2: 1 × 12.10
Dormitorio 3: 1 × 12.50
Baño 2: 1 × 3.30
FALSOS TECHOS EXTERIORES
PAREADO TIPO: 14 × 9.80
AISLADA TIPO 1(VIVIENDA 5): 1 × 10.70
AISLADA TIPO 2(VIVIENDA 10): 1 × 8.10</t>
  </si>
  <si>
    <t xml:space="preserve">PINTURA PLÁSTICA MATE BLANCA HORIZONTALPintura plástica blanca mate para interior/exterior, en superficies horizontales, ALPHALUX SF de SIKKENS de alta calidad, al agua 100% libre de disolvente, microporosa, lavable y resistente al frote húmedo según DIN 53778. Sobre superficies muy porosas se aplicará una mano de imprimación transparente y no peliculante al agua ALPHA AQUAFIX de SIKKENS.</t>
  </si>
  <si>
    <t xml:space="preserve">Névola · Electricidad y telecomunicaciones · 16 viviendas</t>
  </si>
  <si>
    <t xml:space="preserve">Capítulo C.13 del proyecto de ejecución (BC3 de julio de 2026). Medición de toda la promoción y su desglose tal como viene en el proyecto. Precios del proyecto (CYPE, PEM, sin IVA), solo como referencia.</t>
  </si>
  <si>
    <t xml:space="preserve">1001</t>
  </si>
  <si>
    <t xml:space="preserve">TRAMITACIÓN DOCUMENTACIÓN/BOLETÍN</t>
  </si>
  <si>
    <t xml:space="preserve">Viviendas: 16 × 1.00
Punto recarga vehículos: 16 × 1.00
Zona común: 1 × 1.00
Puesta a tierra piscina adultos: 1 × 1.00</t>
  </si>
  <si>
    <t xml:space="preserve">TRAMITACIÓN  DOCUMENTACIÓN/BOLETÍNPresentación, tramitación y entrega de certificados, boletines y cualquier otra documentación exigida por los organismos y/o empresas competentes y por la normativa vigente, i/ tramitación y presentación en industria de la instalación eléctrica hasta consecución del Boletín Eléctrico, aportando a la D.F. copia del mismo y esquema unifilar de la instalación.</t>
  </si>
  <si>
    <t xml:space="preserve">E17BCD010</t>
  </si>
  <si>
    <t xml:space="preserve">MÓDULO CONTADOR</t>
  </si>
  <si>
    <t xml:space="preserve">Viviendas: 16 × 1.00
Zona común: 1 × 1.00</t>
  </si>
  <si>
    <t xml:space="preserve">Medidas: 360x630mm</t>
  </si>
  <si>
    <t xml:space="preserve">MÓDULO CONTADORMódulo para contador electrónico monofásico hasta 41,5 kW, de 360x630 mm de dimensiones, homologada por la compañía suministradora, formada por: 4 bornes de conexión abonado de 25 mm2 y conexión para reloj de 2,5 mm2, Bases BUC de 100/160 A, cableado con conductores de cobre rígido clase 2 tipo H07Z-R de 10 mm2 de sección, dispositivos de ventilación en la tapa, conos entrada y salida de cables, dispositivos de precinto en la tapa y ventanilla practicable para acceso al contador, totalmente instalado y conexionado, incluyendo cableado y accesorios para formar parte de la centralización de contadores; según REBT, ITC-16.</t>
  </si>
  <si>
    <t xml:space="preserve">E17AB030</t>
  </si>
  <si>
    <t xml:space="preserve">ACOMETIDA MONOFÁSICA 2(1x16) mm2 Cu</t>
  </si>
  <si>
    <t xml:space="preserve">Viviendas
12 × 6.00
2 × 14.00
2 × 19.50</t>
  </si>
  <si>
    <t xml:space="preserve">Medidas: 2x16mm, 50x85cm</t>
  </si>
  <si>
    <t xml:space="preserve">ACOMETIDA MONOFÁSICA 2(1x16) mm2 CuAcometida enterrada monofásica tendida directamente en zanja formada por conductores unipolares aislados de cobre con polietileno reticulado (XLEP) y cubierta de PVC, RV-K 2x16 mm², para una tensión nominal de 0,6/1 kV, incluido zanja de 50x85 cm, cama de 5 cm y capa de protección de 10 cm ambas de arena de río, protección mecánica por placa y cinta señalización de PVC. Totalmente instalado y conexionado; según REBT, ITC-BT-11 e ITC-BT-07.</t>
  </si>
  <si>
    <t xml:space="preserve">E17AB040</t>
  </si>
  <si>
    <t xml:space="preserve">ACOMETIDA MONOFÁSICA 4(1x25) mm2 Cu</t>
  </si>
  <si>
    <t xml:space="preserve">Zona común: 45</t>
  </si>
  <si>
    <t xml:space="preserve">Medidas: 4x25mm, 50x85cm</t>
  </si>
  <si>
    <t xml:space="preserve">ACOMETIDA MONOFÁSICA 4(1x25) mm2 CuAcometida enterrada monofásica tendida directamente en zanja formada por conductores unipolares aislados de cobre con polietileno reticulado (XLEP) y cubierta de PVC, RV-K 4x25 mm², para una tensión nominal de 0,6/1 kV, incluido zanja de 50x85 cm, cama de 5 cm y capa de protección de 10 cm ambas de arena de río, protección mecánica por placa y cinta señalización de PVC. Totalmente instalado y conexionado; según REBT, ITC-BT-11 e ITC-BT-07.</t>
  </si>
  <si>
    <t xml:space="preserve">E17BB020</t>
  </si>
  <si>
    <t xml:space="preserve">LÍNEA GENERAL ALIMENTACIÓN 2(1x16) mm2 Cu</t>
  </si>
  <si>
    <t xml:space="preserve">Viviendas: 16 × 10.00</t>
  </si>
  <si>
    <t xml:space="preserve">LÍNEA GENERAL ALIMENTACIÓN 2(1x16) mm2 CuLínea general de alimentación (LGA) en canalización entubada formada por conductores unipolares de cobre aislados, RZ1-K (AS) 2x16 mm2, para una tensión nominal 0,6/1 kV, no propagadores del incendio y con emisión de humos y opacidad reducida, bajo tubo de PVC reforzado M25/gp7. Instalación incluyendo conexionado; según REBT, ITC-BT-14.</t>
  </si>
  <si>
    <t xml:space="preserve">E17BD030</t>
  </si>
  <si>
    <t xml:space="preserve">DERIVACIÓN INDIVIDUAL MONOFÁSICA 3x16 mm2</t>
  </si>
  <si>
    <t xml:space="preserve">Color: rojo</t>
  </si>
  <si>
    <t xml:space="preserve">DERIVACIÓN INDIVIDUAL MONOFÁSICA 3x16 mm2Derivación individual monofásica (DI) en canalización entubada formada por conductores unipolares de cobre, H07Z1-K (AS) 3x16 mm2 + 1x1,5 mm2 de hilo de mando color rojo, para una tensión nominal de 450/750 V, no propagadores del incendio y con emisión de humos y opacidad reducida, bajo tubo de PVC reforzado M32/gp7 instalada en patinillo incluyendo elementos de fijación y conexionado; según REBT, ITC-BT-15.</t>
  </si>
  <si>
    <t xml:space="preserve">E17BD070</t>
  </si>
  <si>
    <t xml:space="preserve">DERIVACIÓN INDIVIDUAL TRIFÁSICA 5x16 mm2</t>
  </si>
  <si>
    <t xml:space="preserve">Zona común: 1 × 40.00</t>
  </si>
  <si>
    <t xml:space="preserve">DERIVACIÓN INDIVIDUAL MONOFÁSICA 5x16 mm2Derivación individual monofásica (DI) en canalización entubada formada por conductores unipolares de cobre, H07Z1-K (AS) 5x16 mm2 + 1x1,5 mm2 de hilo de mando color rojo, para una tensión nominal de 450/750 V, no propagadores del incendio y con emisión de humos y opacidad reducida, bajo tubo de PVC reforzado M32/gp7, instalada en patinillo incluyendo elementos de fijación y conexionado; según REBT, ITC-BT-15.</t>
  </si>
  <si>
    <t xml:space="preserve">E17BD020</t>
  </si>
  <si>
    <t xml:space="preserve">DERIVACIÓN INDIVIDUAL MONOFÁSICA 3x10 mm2</t>
  </si>
  <si>
    <t xml:space="preserve">Subcuadro Generales: 20
Subcuadro Piscina: 25</t>
  </si>
  <si>
    <t xml:space="preserve">DERIVACIÓN INDIVIDUAL MONOFÁSICA 3x10 mm2Derivación individual monofásica (DI) en canalización entubada formada por conductores unipolares de cobre, H07Z1-K (AS) 3x10 mm2 + 1x1,5 mm2 de hilo de mando color rojo, para una tensión nominal de 450/750 V, no propagadores del incendio y con emisión de humos y opacidad reducida, bajo tubo de PVC reforzado M32/gp7, instalada en patinillo incluyendo elementos de fijación y conexionado; según REBT, ITC-BT-15.</t>
  </si>
  <si>
    <t xml:space="preserve">E17CB04122</t>
  </si>
  <si>
    <t xml:space="preserve">CUADRO GENERAL MANDO Y PROTEC. VIVIENDA ELECTR. ELEVADA 12 C</t>
  </si>
  <si>
    <t xml:space="preserve">Viviendas: 16 × 1.00</t>
  </si>
  <si>
    <t xml:space="preserve">CUADRO GENERAL MANDO Y PROTEC. VIVIENDA ELECTR. ELEVADA 12 CCuadro general de mando y protección de vivienda, electrificación elevada, formado por caja empotrable de doble aislamiento con puerta con grado de protección IP40-IK08, de 24 elementos, perfil omega, embarrado de proteción, alojamiento del interruptor de control de potencia (no incluido) independiente y precintable, 1 IGA de corte omnipolar de 40 A (2P), 3 interruptores diferenciales 40 A/2 P/30 mA, 2 interruptores diferenciales 25 A/2 P/30 mAy 8 PIAS (I+N) de corte omnipolar: 2 de 10 A para alumbrado; 7 de 16 A para tomas de uso general, auxiliar en cocina y baños y para recarga de vehículo eléctrico; 2 de 20 A para lavadora, lavavajillas y extractor; y 2 de 25 A para cocina y horno y aerotermia. Instalado, conexionado y rotulado; según REBT, ITC-BT-10, ICT-BT-17, ITC-BT-25 e ITC-BT-52.</t>
  </si>
  <si>
    <t xml:space="preserve">E17CB0601925</t>
  </si>
  <si>
    <t xml:space="preserve">CUADRO GENERAL DE MANDO Y PROTECCIÓN PISCINA</t>
  </si>
  <si>
    <t xml:space="preserve">1</t>
  </si>
  <si>
    <t xml:space="preserve">CUADRO GENERAL DE MANDO Y PROTECCIÓN PISCINACuadro general de mando y protección de piscina, formado por caja empotrable de doble aislamiento con puerta con grado de protección IP40-IK08, de 24 elementos, perfil omega, embarrado de proteción, segun esquema unifilar. Instalado, conexionado y rotulado; según REBT.</t>
  </si>
  <si>
    <t xml:space="preserve">E17CB0601919</t>
  </si>
  <si>
    <t xml:space="preserve">CUADRO GENERAL DE MANDO Y PROTECCIÓN SERVICIOS COMUNES</t>
  </si>
  <si>
    <t xml:space="preserve">Cuadro general de mando y protección de servicios comunes, formado por caja empotrable de doble aislamiento con puerta con grado de protección IP40-IK08, de 24 elementos, perfil omega, embarrado de proteción, segun esquema unifilar. Instalado, conexionado y rotulado; según REBT.</t>
  </si>
  <si>
    <t xml:space="preserve">E17CM040</t>
  </si>
  <si>
    <t xml:space="preserve">CIRCUITO MONOFÁSICO 3x4 mm2 (AS)</t>
  </si>
  <si>
    <t xml:space="preserve">Alumbrado Balizas: 150 × 2.00
Alumbrado Farolas: 120</t>
  </si>
  <si>
    <t xml:space="preserve">CIRCUITO MONOFÁSICO 3x4 mm2 (AS)Circuito eléctrico formado por conductores unipolares de cobre aislados H07Z1-K (AS) 3x4 mm2, para una tensión nominal de 450/750 V, no propagadores del incendio y con emisión de humos y opacidad reducida, realizado con tubo PVC corrugado M20/gp5 empotrado, en sistema monofásico (fase, neutro y protección), incluido p.p./ de cajas de registro y regletas de conexión. Instalación y conexionado; según REBT.</t>
  </si>
  <si>
    <t xml:space="preserve">E17CM010</t>
  </si>
  <si>
    <t xml:space="preserve">CIRCUITO MONOFASICO 3x2,5 mm2</t>
  </si>
  <si>
    <t xml:space="preserve">TC Prevision: 20</t>
  </si>
  <si>
    <t xml:space="preserve">Circuito electrico formado por conductores unipolares de cobre aislados H07V-K 3x2,5 mm2, para una tensión nominal de 450/750 V, realizado con tubo PVC corrugado M 20/gp5 empotrado, en sistema monofásico (fase, neutro y protección), incluido p.p./ de cajas de registro y regletas de conexión. Instalación y conexionado; según REBT, ITC-BT-25.</t>
  </si>
  <si>
    <t xml:space="preserve">E17CDP035</t>
  </si>
  <si>
    <t xml:space="preserve">CANALIZACIÓN TUBO RÍGIDO M32/gp7</t>
  </si>
  <si>
    <t xml:space="preserve">Alumbrado Exterior: 420</t>
  </si>
  <si>
    <t xml:space="preserve">CANALIZACIÓN TUBO RÍGIDO M32/gp7Canalización de tubo rígido de PVC color gris M32/gp7, fijado al paramento mediante abrazaderas separadas 50 cm como máximo, con p.p. de piezas especiales y accesorios. Totalmente colocado. Según REBT, ITC-BT-21.</t>
  </si>
  <si>
    <t xml:space="preserve">IEI015b</t>
  </si>
  <si>
    <t xml:space="preserve">RED ELÉCTRICA DE DISTRIBUCIÓN INTERIOR DE VIVIENDA UNIFAMILIAR 12 CIRCUITOS</t>
  </si>
  <si>
    <t xml:space="preserve">Red eléctrica de distribución interior de una vivienda unifamiliar con electrificación elevada (9.200 W), de superficie útil aproximada 125,00 m², con las siguientes estancias: acceso, vestíbulo, pasillo, escalera, salón-comedor, 3 dormitorios dobles, 3 baños, cocina, lavadero y 2 terrazas, compuesta de: cuadro general de mando y protección; 12 circuitos interiores con cableado bajo tubo protector:C1: AlumbradoC2: FuerzaC3: Horno y vitroC4: Lavadora y lavavajillasC5: SecadoraC6: Alumbrado exteriorC7: Fuerza exteriorC8: Fuerza cocinaC9: ExtractoresC10: Aerotermia (Incluye líneas repartidoras para Unidad Interior y Exterior, Colectores y Termostatos)C11: Bomba ACSC12: Punto de recarga vehículo eléctricoNo incluye mecanismos gama media (tecla o tapa: blanco; marco: blanco; embellecedor: blanco).No incluye cuadro general de mando y protección de vivienda, electrificación elevada (9.200 W), formado por caja empotrable de doble aislamiento con puerta con grado de protección IP40-IK08, segun esquema unifilar. Instalado, conexionado y rotulado; según REBT, ITC-BT-10, ICT-BT-17 e ITC-BT-25.Incluye canalización de tubo curvable de PVC, y cable unipolar H07V-K</t>
  </si>
  <si>
    <t xml:space="preserve">1017</t>
  </si>
  <si>
    <t xml:space="preserve">RED DE EQUIPOTENCIALIDAD EN CUARTO HÚMEDO</t>
  </si>
  <si>
    <t xml:space="preserve">Cuartos húmedos (baños): 16 × 3.00</t>
  </si>
  <si>
    <t xml:space="preserve">RED DE EQUIPOTENCIALIDAD EN CUARTO HÚMEDOSuministro e instalación de red de equipotencialidad en cuarto húmedo mediante conductor rígido de cobre de 4 mm² de sección, conectando a tierra todas las canalizaciones metálicas existentes y todos los elementos conductores que resulten accesibles mediante abrazaderas de latón. Incluso cajas de empalmes y regletas. Totalmente montada, conexionada y probada.Incluye: Replanteo. Conexionado del electrodo y la línea de enlace. Montaje del punto de puesta a tierra. Trazado de la línea principal de tierra. Sujeción. Trazado de derivaciones de tierra. Conexionado de las derivaciones. Conexionado a masa de la red.Criterio de medición de proyecto: Número de unidades previstas, según documentación gráfica de Proyecto.Criterio de medición de obra: Se medirá el número de unidades realmente ejecutadas según especificaciones de Proyecto.</t>
  </si>
  <si>
    <t xml:space="preserve">1018</t>
  </si>
  <si>
    <t xml:space="preserve">TOMA DE TIERRA INDEPENDIENTE CON PICA</t>
  </si>
  <si>
    <t xml:space="preserve">Viviendas: 16 × 1.00
Piscinas: 1 × 1.00</t>
  </si>
  <si>
    <t xml:space="preserve">TOMA DE TIERRA INDEPENDIENTE CON PICAToma de tierra independiente con con pica de acero cobrizado de D=14,3 mm y 2 m de longitud, cable de cobre de 35 mm2 hasta una longitud de 20 metros, uniones mediante soldadura aluminotérmica, incluyendo registro de comprobación y puente de prueba. Según REBT, ITC-BT-18 e ITC-BT-26.</t>
  </si>
  <si>
    <t xml:space="preserve">1019</t>
  </si>
  <si>
    <t xml:space="preserve">RED TOMA DE TIERRA ESTRUCTURA</t>
  </si>
  <si>
    <t xml:space="preserve">PAREADO TIPO: 7 × 72.60
AISLADA TIPO 1 (VIVIENDA 5): 1 × 40.55
AISLADA TIPO 2 (VIVIENDA 10): 1 × 40.60
ZONA COMÚN (Piscinas): 1 × 61.00</t>
  </si>
  <si>
    <t xml:space="preserve">RED TOMA DE TIERRA ESTRUCTURARed de toma de tierra de estructura, realizada con cable de cobre desnudo de 35 mm2, electrodos cobrizados de D=14,3 mm. y 2 m. de longitud con conexión mediante soldadura aluminotérmica a la armadura de cada zapata, incluyendo parte proporcional de pica, soldadura, registro de comprobación y puente de prueba. Según REBT, ITC-BT-18 e ITC-BT-26.</t>
  </si>
  <si>
    <t xml:space="preserve">diE17V040</t>
  </si>
  <si>
    <t xml:space="preserve">SOLDADURA ALUMINOTÉRMICA CABLE/CABLE</t>
  </si>
  <si>
    <t xml:space="preserve">PAREADO TIPO: 7 × 18.00
AISLADA TIPO 1 (VIVIENDA 5): 1 × 12.00
AISLADA TIPO 2 (VIVIENDA 10): 1 × 12.00</t>
  </si>
  <si>
    <t xml:space="preserve">SOLDADURA ALUMINOTÉRMICA CABLE/CABLERealización de soldadura aluminotérmica entre cables desnudo de cobre, ejecutada por medio de molde de grafíto. Se incluye en el precio el cartucho y material axiliar necesario para que la unidad quede totalmente terminada.</t>
  </si>
  <si>
    <t xml:space="preserve">E17MN010</t>
  </si>
  <si>
    <t xml:space="preserve">PUNTO LUZ SENCILLO UNIPOLAR BLANCO</t>
  </si>
  <si>
    <t xml:space="preserve">16 × 12.00</t>
  </si>
  <si>
    <t xml:space="preserve">Marca/serie: Schuko</t>
  </si>
  <si>
    <t xml:space="preserve">Punto de luz sencillo realizado con tubo PVC corrugado de M16/gp5 y conductor de cobre unipolar aislado para una tensión nominal de 750 V y sección de 1,5 mm2 (activo, neutro y protección), incluido caja de registro, caja de mecanismo universal con tornillo, interruptor unipolar con tecla gama estándar, marco respectivo y casquillo, totalmente montado e instalado. Sistema "Schuko" gama estándar o similar.</t>
  </si>
  <si>
    <t xml:space="preserve">E17MN050</t>
  </si>
  <si>
    <t xml:space="preserve">PUNTO LUZ DOBLE INTERRUPTOR BLANCO</t>
  </si>
  <si>
    <t xml:space="preserve">Viviendas: 16 × 2.00
Caseta de aperos: 1 × 1.00</t>
  </si>
  <si>
    <t xml:space="preserve">Punto de luz doble interruptor realizado en tubo PVC corrugado M16/gp5 y conductor de cobre unipolar aislados para una tensión nominal de 750 V y sección 1,5 mm2 (activo, neutro y protección), incluido caja registro, caja mecanismo universal con tornillo, doble interruptor con tecla gama estándar, marco respectivo y casquillo, totalmente montado e instalado. Sistema "Schuko" gama estándar o similar.</t>
  </si>
  <si>
    <t xml:space="preserve">E17MJB020</t>
  </si>
  <si>
    <t xml:space="preserve">PUNTO DE LUZ SENCILLO CONMUTADO BLANCO</t>
  </si>
  <si>
    <t xml:space="preserve">16 × 14.00</t>
  </si>
  <si>
    <t xml:space="preserve">PUNTO DE LUZ SENCILLO CONMUTADO Punto de luz conmutado realizado con tubo PVC corrugado M16/gp5 y conductor de cobre unipolar aislados para una tensión nominal de 750 V y sección 1,5 mm2 (activo, neutro y protección), incluido caja registro, caja mecanismo universal con tornillo, mecanismos conmutadores con teclas gama estándar, marco respectivo y casquillo, totalmente montado e instalado. Sistema "Schuko" gama estándar o similar.</t>
  </si>
  <si>
    <t xml:space="preserve">E17MN040</t>
  </si>
  <si>
    <t xml:space="preserve">PUNTO LUZ CRUZAMIENTO BLANCO</t>
  </si>
  <si>
    <t xml:space="preserve">16 × 2.00</t>
  </si>
  <si>
    <t xml:space="preserve">PUNTO LUZ CRUZAMIENTO BLANCOPunto cruzamiento realizado en tubo PVC corrugado M16/gp5 y conductor de cobre unipolar aislados para una tensión nominal de 750 V y sección 1,5 mm2 (activo, neutro y protección), incluido caja registro, caja mecanismo universal con tornillo, mecanismo conmutadores y cruzamiento con tecla gama estándar, marcos respectivos y casquillo, totalmente montados e instalados. Sistema "Schuko" gama estándar o similar.</t>
  </si>
  <si>
    <t xml:space="preserve">IIC020</t>
  </si>
  <si>
    <t xml:space="preserve">DETECTOR DE MOVIMIENTO</t>
  </si>
  <si>
    <t xml:space="preserve">Zona aparcamiento: 16 × 1.00</t>
  </si>
  <si>
    <t xml:space="preserve">Medidas: 80x72x100mm</t>
  </si>
  <si>
    <t xml:space="preserve">DETECTOR DE MOVIMIENTOSuministro e instalación a la intemperie de detector de movimiento por infrarrojos para automatización del sistema de alumbrado, ángulo de detección de 140°, alcance frontal de 12 m y lateral de 8 m, regulable en tiempo y en sensibilidad lumínica, alimentación a 230 V y 50 Hz, poder de ruptura de 10 A a 250 V, cargas máximas recomendadas: 2000 W para lámparas incandescentes, 600 VA para lámparas fluorescentes, 600 VA para lámparas halógenas de bajo voltaje, 2000 W para lámparas halógenas, 600 VA para lámparas de bajo consumo, 600 VA para luminarias tipo Downlight, 60 VA para lámparas LED, temporización regulable de 3 s a 30 min, sensibilidad lumínica regulable de 5 a 2000 lux, temperatura de trabajo entre -20°C y 40°C, grado de protección IP55, de 80x72x100 mm. Incluso sujeciones.Incluye: Replanteo. Montaje, conexionado y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</si>
  <si>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1025</t>
  </si>
  <si>
    <t xml:space="preserve">BASE DE ENCHUFE T.T. BLANCO</t>
  </si>
  <si>
    <t xml:space="preserve">16 × 21.00</t>
  </si>
  <si>
    <t xml:space="preserve">BASE DE ENCHUFE 16A BLANCOBase enchufe con toma de tierra lateral realizado en tubo PVC corrugado M 20/gp5 y conductor de cobre unipolar, aislados para una tensión nominal de 750 V y sección 2,5 mm2, (activo, neutro y protección). Incluido caja de registro, caja mecanismo universal con tornillo, base enchufe, de ejecución empotrada, f+n+t, de 16A 250V, sistema "Schuko" gama estándar o similar, así como marco respectivo, totalmente montado e instalado.</t>
  </si>
  <si>
    <t xml:space="preserve">1026</t>
  </si>
  <si>
    <t xml:space="preserve">BASE DOBLE ENCHUFE T.T. BLANCO</t>
  </si>
  <si>
    <t xml:space="preserve">BASE DOBLE ENCHUFE T.T. BLANCOBase doble enchufe con toma de tierra lateral realizado en tubo PVC corrugado M20/gp5 y conductor de cobre unipolar, aislados para una tensión nominal de 750 V y sección 2,5 mm2 (activo, neutro y protección), incluido caja de registro, caja mecanismo universal con tornillo, base enchufe 10/16 A (II+T.T.), sistema "Schuko" gama estándar o similar, así como marco respectivo, totalmente montado e instalado.</t>
  </si>
  <si>
    <t xml:space="preserve">1027</t>
  </si>
  <si>
    <t xml:space="preserve">BASE ENCHUFE 25A (II+T.T) COCINA BLANCO</t>
  </si>
  <si>
    <t xml:space="preserve">Cocina: 16 × 2.00
Lavado: 16 × 2.00</t>
  </si>
  <si>
    <t xml:space="preserve">BASE ENCHUFE 25A (II+T.T) COCINA BLANCOBase enchufe con toma de tierra lateral, realizado en tubo PVC corrugado M25/gp5 y conductor de cobre unipolar, aislados para una tensión nominal de 750 V y sección 6 mm2 (activo, neutro y protección), incluido caja de registro, caja mecanismo universal con tornillo, base enchufe 25A (II+T.T.), sistema "Schuko" gama estándar, así como marco respectivo, totalmente montado e instalado.</t>
  </si>
  <si>
    <t xml:space="preserve">E17MN190</t>
  </si>
  <si>
    <t xml:space="preserve">BASE SEGURIDAD 20A</t>
  </si>
  <si>
    <t xml:space="preserve">Baños: 16 × 5.00</t>
  </si>
  <si>
    <t xml:space="preserve">Base de seguridad para baño, con toma de tierra lateral realizado en tubo PVC corrugado M20/gp5 y conductor de cobre unipolar, aislados para una tensión nominal de 750 V y sección 4 mm2 (activo, neutro y protección), incluido caja de registro, caja mecanismo universal con tornillo, base enchufe 20 A (II+T.T.), sistema "Schuko" gama estándar, así como marco respectivo, totalmente montado e instalado.</t>
  </si>
  <si>
    <t xml:space="preserve">1028</t>
  </si>
  <si>
    <t xml:space="preserve">BASE ENCHUFE 10-16 A ESTANCO IP44</t>
  </si>
  <si>
    <t xml:space="preserve">Exterior viviendas: 16 × 2.00
Caseta de aperos: 1 × 1.00</t>
  </si>
  <si>
    <t xml:space="preserve">BASE ENCHUFE 10-16 A ESTANCO IP44Base de enchufe estanca con toma de tierra lateral realizada con tubo PVC corrugado de M 20/gp5 y conductor rígido de 2,5 mm2 de Cu, y aislamiento VV 750 V, en sistema monofásico con toma de tierra (fase, neutro y tierra), incluyendo caja de registro, caja de mecanismo universal con tornillos, base de enchufe sistema schuko 10-16 A (II+t.) Estanco IP44 , instalada.</t>
  </si>
  <si>
    <t xml:space="preserve">E19PV015</t>
  </si>
  <si>
    <t xml:space="preserve">VIDEOPORTERO DIGITAL VIVIENDA UNIFAMILIAR</t>
  </si>
  <si>
    <t xml:space="preserve">VIDEOPORTERO DIGITAL VIVIENDA UNIFAMILIARVideoportero blanco y negro digital para una vivienda unifamiliar, sistema digital de 3 hilos mas coaxial, pulsador de autoencendido de cámara, llamada y ganancia regulables, confirmación de apertura mediante mensaje de puerta abierta, incluyendo placa de calle, telecámara b/n, alimentador, abrepuertas y monitor b/n 4". Montado incluyendo cableado (2 hilos para la conexión de la placa de calle con el abrepuertas) y conexionado completo.</t>
  </si>
  <si>
    <t xml:space="preserve">IEB010</t>
  </si>
  <si>
    <t xml:space="preserve">PUNTO RECARGA VEHÍCULOS</t>
  </si>
  <si>
    <t xml:space="preserve">PUNTO RECARGA VEHÍCULOSEstación de recarga de vehículos eléctricos para modo de carga 1 compuesta por caja de recarga de vehículo eléctrico, metálica, para alimentación monofásica a 230 V y 50 Hz de frecuencia, de 2,3 kW de potencia, con una toma Schuko de 16 A.</t>
  </si>
  <si>
    <t xml:space="preserve">E19TCT010</t>
  </si>
  <si>
    <t xml:space="preserve">EQUIPO CAPTACIÓN RTV C/ MÁSTIL h=3 m</t>
  </si>
  <si>
    <t xml:space="preserve">EQUIPO CAPTACIÓN RTV C/ MÁSTIL h=3 mEquipo de captación de señales de TV terrenal, analógicas y digitales, radio digital (DAB) y FM formado por antenas para UHF, DAB y FM, con mástil de tubo de acero galvanizado de 3 m, incluido soporte y anclajes mástil, cable coaxial hasta equipos de cabecera, y conductor de tierra de 25 mm2. Totalmente instalado y conexionado, según RD 346/2011.</t>
  </si>
  <si>
    <t xml:space="preserve">ILA010</t>
  </si>
  <si>
    <t xml:space="preserve">ARQUETA DE ENTRADA</t>
  </si>
  <si>
    <t xml:space="preserve">Medidas: 40x40x60cm</t>
  </si>
  <si>
    <t xml:space="preserve">ARQUETA DE ENTRADAArqueta de entrada prefabricada de hormigón de dimensiones interiores 40x40x60 cm (UNE 133100-2:2002), en instalaciónes de hasta 20 PAU, para unión entre las redes de alimentación de los distintos operadores y la infraestructura común de telecomunicaciones del edificio, con ventanas para entrada de conductos, dotada de cercos, tapa de hormigón con cierre de seguridad y ganchos para tracción y tendido de cables, incluso excavación en terreno compacto, solera de hormigón en masa HM-20 de 10 cm y p.p. de medios auxiliares, embocadura de conductos, relleno lateral de tierras y transporte de tierras sobrantes a vertedero. Totalmente instalado, según RD 346/2011.</t>
  </si>
  <si>
    <t xml:space="preserve">ILE021</t>
  </si>
  <si>
    <t xml:space="preserve">REGISTRO DE ENLACE INFERIOR</t>
  </si>
  <si>
    <t xml:space="preserve">Medidas: 450x450x120mm</t>
  </si>
  <si>
    <t xml:space="preserve">REGISTRO DE ENLACE INFERIORRegistro de enlace inferior para paso y distribución de instalaciones de ICT, formado por armario con cuerpo y puerta de poliéster reforzado con fibra de vidrio de 450x450x120 mm. Instalación en superficie. Incluso cierre con llave, accesorios, piezas especiales y fijaciones.Incluye: Replanteo. Colocación y fijación del armario.Criterio de medición de proyecto: Número de unidades previstas, según documentación gráfica de Proyecto.Criterio de medición de obra: Se medirá el número de unidades realmente ejecutadas según especificaciones de Proyecto.</t>
  </si>
  <si>
    <t xml:space="preserve">ILE031</t>
  </si>
  <si>
    <t xml:space="preserve">REGISTRO DE ENLACE SUPERIOR</t>
  </si>
  <si>
    <t xml:space="preserve">Medidas: 360x360x120mm</t>
  </si>
  <si>
    <t xml:space="preserve">REGISTRO DE ENLACE SUPERIORRegistro de enlace superior para paso y distribución de instalaciones de ICT, formado por armario con cuerpo y puerta de plancha de acero lacado con aislamiento interior de 360x360x120 mm. Instalación en superficie. Incluso cierre con llave, accesorios, piezas especiales y fijaciones.Incluye: Replanteo. Colocación y fijación del armario.Criterio de medición de proyecto: Número de unidades previstas, según documentación gráfica de Proyecto.Criterio de medición de obra: Se medirá el número de unidades realmente ejecutadas según especificaciones de Proyecto.</t>
  </si>
  <si>
    <t xml:space="preserve">ILA020</t>
  </si>
  <si>
    <t xml:space="preserve">CANALIZACIÓN EXTERNA ENTERRADA</t>
  </si>
  <si>
    <t xml:space="preserve">16 × 5.90</t>
  </si>
  <si>
    <t xml:space="preserve">Medidas: 45x75cm</t>
  </si>
  <si>
    <t xml:space="preserve">CANALIZACIÓN EXTERNA ENTERRADACanalización externa, entre la arqueta de entrada y el registro de enlace inferior en el interior de la vivienda, formada por 1 tubo (TBA+STDP) de polietileno de 63 mm de diámetro, suministrado en rollo, resistencia a la compresión 450 N, resistencia al impacto 20 julios, ejecutada en zanja de 45x75 cm, con el tubo embebido en un prisma de hormigón en masa HM-20/B/20/X0 con 6 cm de recubrimiento superior e inferior y 5,5 cm de recubrimiento lateral. Instalación enterrada. Incluso hilo guía.Criterio de valoración económica: El precio no incluye la excavación ni el relleno perimetral posterior.Incluye: Replanteo del recorrido de la canalización. Refinado de fondos y laterales a mano, con extracción de las tierras. Vertido y compactación del hormigón en formación de solera. Presentación en seco de los tubos. Vertido y compactación del hormigón para formación del prisma.Criterio de medición de proyecto: Longitud medida en proyección horizontal, según documentación gráfica de Proyecto.Criterio de medición de obra: Se medirá, en proyección horizontal, la longitud realmente ejecutada según especificaciones de Proyecto.</t>
  </si>
  <si>
    <t xml:space="preserve">ILE010</t>
  </si>
  <si>
    <t xml:space="preserve">CANALIZACIÓN DE ENLACE INFERIOR</t>
  </si>
  <si>
    <t xml:space="preserve">16 × 0.40</t>
  </si>
  <si>
    <t xml:space="preserve">CANALIZACIÓN DE ENLACE INFERIORCanalización de enlace inferior entre el registro de enlace y el registro de terminación de red, formada por 2 TBA+STDP de polietileno de 40 mm de diámetro, suministrado en rollo, resistencia a la compresión 450 N, resistencia al impacto 15 julios, ejecutada en zanja de 45x75 cm, con los tubos embebidos en un prisma de hormigón en masa HM-20/B/20/X0 con 6 cm de recubrimiento superior e inferior y 5,5 cm de recubrimiento lateral. Instalación enterrada. Incluso soportes separadores de tubos de PVC colocados cada 100 cm e hilo guía.Criterio de valoración económica: El precio no incluye la excavación ni el relleno perimetral posterior.Incluye: Replanteo del recorrido de la canalización. Refinado de fondos y laterales a mano, con extracción de las tierras. Vertido y compactación del hormigón en formación de solera. Presentación en seco de los tubos. Vertido y compactación del hormigón para formación del prisma.Criterio de medición de proyecto: Longitud medida en proyección horizontal, según documentación gráfica de Proyecto.Criterio de medición de obra: Se medirá, en proyección horizontal, la longitud realmente ejecutada según especificaciones de Proyecto.</t>
  </si>
  <si>
    <t xml:space="preserve">ILE030</t>
  </si>
  <si>
    <t xml:space="preserve">CANALIZACIÓN DE ENLACE SUPERIOR</t>
  </si>
  <si>
    <t xml:space="preserve">16 × 9.05</t>
  </si>
  <si>
    <t xml:space="preserve">CANALIZACIÓN DE ENLACE SUPERIORCanalización de enlace superior entre el punto de entrada general superior del edificio y el RITS, RITU o RITM, para edificio plurifamiliar, formada por 2 tubos de PVC rígido de 40 mm de diámetro, resistencia a compresión mayor de 1250 N, resistencia al impacto 2 julios, con IP547. Instalación en superficie. Incluso accesorios, elementos de sujeción e hilo guía.Incluye: Replanteo del recorrido de la canalización. Colocación y fijación de los tubos. Colocación del hilo guía.Criterio de medición de proyecto: Longitud medida según documentación gráfica de Proyecto.Criterio de medición de obra: Se medirá la longitud realmente ejecutada según especificaciones de Proyecto.</t>
  </si>
  <si>
    <t xml:space="preserve">ILI001</t>
  </si>
  <si>
    <t xml:space="preserve">REGISTRO DE TERMINACIÓN DE RED</t>
  </si>
  <si>
    <t xml:space="preserve">Medidas: 500x600x80mm</t>
  </si>
  <si>
    <t xml:space="preserve">REGISTRO DE TERMINACIÓN DE REDRegistro de terminación de red, formado por caja de plástico para disposición del equipamiento principalmente en vertical, de 500x600x80 mm. Instalación empotrada. Incluso tapa, accesorios, piezas especiales y fijaciones.Criterio de valoración económica: El precio no incluye las ayudas de albañilería para instalaciones.Incluye: Replanteo. Colocación y fijación de la caja.Criterio de medición de proyecto: Número de unidades previstas, según documentación gráfica de Proyecto.Criterio de medición de obra: Se medirá el número de unidades realmente ejecutadas según especificaciones de Proyecto.</t>
  </si>
  <si>
    <t xml:space="preserve">ILI010</t>
  </si>
  <si>
    <t xml:space="preserve">CANALIZACIÓN INTERIOR DE USUARIO</t>
  </si>
  <si>
    <t xml:space="preserve">16 × 180.28</t>
  </si>
  <si>
    <t xml:space="preserve">CANALIZACIÓN INTERIOR DE USUARIOCanalización interior de usuario por el interior de la vivienda que une el registro de terminación de red con los distintos registros de toma, formada por 1 tubo de PVC flexible, reforzados de 20 mm de diámetro, resistencia a la compresión 320 N, resistencia al impacto 2 julios, para el tendido de cables. Instalación empotrada. Incluso accesorios, elementos de sujeción e hilo guía.Criterio de valoración económica: El precio no incluye las ayudas de albañilería para instalaciones.Incluye: Replanteo del recorrido de la canalización. Colocación y fijación de los tubos. Colocación del hilo guía.Criterio de medición de proyecto: Longitud medida según documentación gráfica de Proyecto.Criterio de medición de obra: Se medirá la longitud realmente ejecutada según especificaciones de Proyecto.</t>
  </si>
  <si>
    <t xml:space="preserve">ILI020</t>
  </si>
  <si>
    <t xml:space="preserve">REGISTRO DE TOMA</t>
  </si>
  <si>
    <t xml:space="preserve">Registro para toma de cables coaxiales para RTV: 16 × 5.00
Registro para toma de cables coaxiales para TBA: 16 × 5.00
Registro para toma de cables de pares trenzados: 16 × 6.00
Toma de fibra óptica: 16 × 1.00</t>
  </si>
  <si>
    <t xml:space="preserve">REGISTRO DE TOMARegistro de toma, formado por caja universal, con enlace por los 2 lados y toma para registro de BAT o toma de usuario, gama media, con tapa ciega de color blanco y bastidor con garras, en previsión de nuevos servicios. Instalación empotrada. Incluso accesorios, piezas especiales y fijaciones.Incluye: Replanteo. Colocación y fijación de la caja.Criterio de medición de proyecto: Número de unidades previstas, según documentación gráfica de Proyecto.Criterio de medición de obra: Se medirá el número de unidades realmente ejecutadas según especificaciones de Proyecto.</t>
  </si>
  <si>
    <t xml:space="preserve">IAA040</t>
  </si>
  <si>
    <t xml:space="preserve">EQUIPO DE CABECERA</t>
  </si>
  <si>
    <t xml:space="preserve">EQUIPO DE CABECERAEquipo de cabecera, formado por: 1 amplificador monocanal UHF, de 50 dB de ganancia; 1 amplificador FM; 1 amplificador DAB, todos ellos con autoseparación en la entrada y automezcla en la salida (alojados en el RITS o RITU). Incluso fuente de alimentación, soporte, puentes de interconexión, cargas resistivas, repartidor, mezcladores y cuantos accesorios sean necesarios para su correcta instalación.Incluye: Montaje, conexionado y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</si>
  <si>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IAA100</t>
  </si>
  <si>
    <t xml:space="preserve">CABLE COAXIAL RG-6, 75 Ohm CLASE ECA</t>
  </si>
  <si>
    <t xml:space="preserve">Red interior (RTV): 16 × 49.74
Red interior (TBACOAX): 16 × 49.27</t>
  </si>
  <si>
    <t xml:space="preserve">CABLE COAXIAL RG-6, 75 Ohm CLASE ECACable coaxial RG-6, de 75 Ohm de impedancia característica media, reacción al fuego clase Eca, con conductor central de cobre de 1,15 mm de diámetro, dieléctrico de polietileno celular, pantalla de cinta de aluminio/polipropileno/aluminio, malla de hilos trenzados de cobre y cubierta exterior de PVC de 6,9 mm de diámetro de color blanco. Incluso accesorios y elementos de sujeción.Incluye: Tendido de cables.Criterio de medición de proyecto: Longitud medida según documentación gráfica de Proyecto.Criterio de medición de obra: Se medirá la longitud realmente ejecutada según especificaciones de Proyecto.</t>
  </si>
  <si>
    <t xml:space="preserve">IAA100b</t>
  </si>
  <si>
    <t xml:space="preserve">CABLE COAXIAL RG-6, 75 Ohm CLASE FCA</t>
  </si>
  <si>
    <t xml:space="preserve">Canalización de enlace (RTV): 16 × 27.16</t>
  </si>
  <si>
    <t xml:space="preserve">Color: negro</t>
  </si>
  <si>
    <t xml:space="preserve">CABLE COAXIAL RG-6, 75 Ohm CLASE FCACable coaxial RG-6, de 75 Ohm de impedancia característica media, reacción al fuego clase Fca, con conductor central de cobre de 1,15 mm de diámetro, dieléctrico de polietileno celular, pantalla de cinta de aluminio/polipropileno/aluminio, malla de hilos trenzados de cobre y cubierta exterior de PE de 6,9 mm de diámetro de color negro. Incluso accesorios y elementos de sujeción.Incluye: Tendido de cables.Criterio de medición de proyecto: Longitud medida según documentación gráfica de Proyecto.Criterio de medición de obra: Se medirá la longitud realmente ejecutada según especificaciones de Proyecto.</t>
  </si>
  <si>
    <t xml:space="preserve">IAA115</t>
  </si>
  <si>
    <t xml:space="preserve">REPARTIDOR DE 5-1000 MHZ DE 8 SALIDAS</t>
  </si>
  <si>
    <t xml:space="preserve">REPARTIDOR DE 5-1000 MHZ DE 8 SALIDASRepartidor de 5-1000 MHz de 8 salidas, de 12 dB de pérdidas de inserción.Incluye: Colocación. Conexionado y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</si>
  <si>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IAA115b</t>
  </si>
  <si>
    <t xml:space="preserve">REPARTIDOR DE 5-2400 MHZ DE 5 SALIDAS</t>
  </si>
  <si>
    <t xml:space="preserve">Medidas: 120x60x16mm</t>
  </si>
  <si>
    <t xml:space="preserve">REPARTIDOR DE 5-2400 MHZ DE 5 SALIDASRepartidor de 5-2400 MHz de 5 salidas con punto de acceso a usuario (PAU), de 120x60x16 mm, 10,5 dB de pérdidas de inserción a 862 MHz y 15 dB de pérdidas de inserción a 2150 MHz.Incluye: Colocación. Conexionado y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</si>
  <si>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E17MN100</t>
  </si>
  <si>
    <t xml:space="preserve">TOMA TELÉFONO BLANCO</t>
  </si>
  <si>
    <t xml:space="preserve">16 × 5.00</t>
  </si>
  <si>
    <t xml:space="preserve">TOMA TELÉFONO BLANCOToma de teléfono, realizada con canalización de PVC corrugado M20/gp5, incluido guía de alambre galvanizado, caja de registro, caja mecanismo universal con tornillo, toma teléfono y placa gama estándar, así como marco respectivo, totalmente montado e instalado.</t>
  </si>
  <si>
    <t xml:space="preserve">E17MN110</t>
  </si>
  <si>
    <t xml:space="preserve">TOMA R-TV+SAT ÚNICA BLANCO</t>
  </si>
  <si>
    <t xml:space="preserve">TOMA R-TV+SAT ÚNICA BLANCOToma  para TV/SAT realizada con canalización de PVC corrugado M20/gp5, incluyendo guía de alambre galvanizado, caja de registro, caja de mecanismo universal con tornillo, toma TV/SAT y placa de gama estándar, así como marco respectivo, totalmente  montado e instalado.</t>
  </si>
  <si>
    <t xml:space="preserve">E17MN150</t>
  </si>
  <si>
    <t xml:space="preserve">ADAPTADOR RJ-45 AMP CATEGORÍA 6 BLANCO</t>
  </si>
  <si>
    <t xml:space="preserve">ADAPTADOR RJ-45 AMP CATEGORÍA 6 BLANCOAdaptador RJ-45 AMP blanco categoria 6, realizado con tubo PVC corrugado de M 20/gp5 y guía de alambre galvanizado, para instalación de línea telefónica, incluyendo caja de registro, caja de mecanismo universal con tornillos, adaptador RJ-45 con marco gama estándar, totalmente montado e instalado.</t>
  </si>
  <si>
    <t xml:space="preserve">IAF070</t>
  </si>
  <si>
    <t xml:space="preserve">CABLE DE PARES DE COBRE</t>
  </si>
  <si>
    <t xml:space="preserve">Red interior: 16 × 139.84</t>
  </si>
  <si>
    <t xml:space="preserve">CABLE DE PARES DE COBRECable rígido U/UTP no propagador de la llama de 4 pares trenzados de cobre, categoría 6, reacción al fuego clase Dca-s2,d2,a2 según UNE-EN 50575, con conductor unifilar de cobre, aislamiento de polietileno y vaina exterior de poliolefina termoplástica LSFH libre de halógenos, con baja emisión de humos y gases corrosivos, de 6,2 mm de diámetro. Incluso accesorios y elementos de sujeción.Incluye: Tendido de cables.Criterio de medición de proyecto: Longitud medida según documentación gráfica de Proyecto.Criterio de medición de obra: Se medirá la longitud realmente ejecutada según especificaciones de Proyecto.</t>
  </si>
  <si>
    <t xml:space="preserve">IAF075</t>
  </si>
  <si>
    <t xml:space="preserve">ROSETA DE TERMINACIÓN DE RED DE DISPERSIÓN</t>
  </si>
  <si>
    <t xml:space="preserve">Medidas: 47x64,5x25,2mm · Color: blanco</t>
  </si>
  <si>
    <t xml:space="preserve">ROSETA DE TERMINACIÓN DE RED DE DISPERSIÓNRoseta de terminación de red de dispersión formada por conector hembra tipo RJ-45 de 8 contactos, categoría 6 y caja de superficie, de 47x64,5x25,2 mm, color blanco.Incluye: Colocación. Conexionado y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</si>
  <si>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IAF085</t>
  </si>
  <si>
    <t xml:space="preserve">MULTIPLEXOR</t>
  </si>
  <si>
    <t xml:space="preserve">MULTIPLEXORMultiplexor pasivo de 1 entrada y 8 salidas, con conectores hembra tipo RJ-45 de 8 contactos, categoría 6, color blanco y latiguillo de conexión de 0,5 m de longitud formado por cable rígido U/UTP no propagador de la llama de 4 pares de cobre, categoría 6, con conductor unifilar de cobre, aislamiento de polietileno y vaina exterior de PVC LSFH libre de halógenos, con baja emisión de humos y gases corrosivos y conector macho tipo RJ-45 de 8 contactos, categoría 6, en ambos extremos.Incluye: Colocación del multiplexor. Conexionado y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</si>
  <si>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IAO020</t>
  </si>
  <si>
    <t xml:space="preserve">CABLE DE FIBRA ÓPTICA</t>
  </si>
  <si>
    <t xml:space="preserve">Rede individual: 16 × 11.38</t>
  </si>
  <si>
    <t xml:space="preserve">CABLE DE FIBRA ÓPTICACable dieléctrico para interiores, de 1 fibra óptica monomodo G657 en tubo central holgado, reacción al fuego clase Dca-s2,d2,a2 según UNE-EN 50575, cabos de aramida como elemento de refuerzo a la tracción y cubierta de material termoplástico ignífugo, libre de halógenos de 4,2 mm de diámetro, reacción al fuego clase Dca-s2,d2,a2 según UNE-EN 50575. Incluso accesorios y elementos de sujeción.Incluye: Tendido de cables.Criterio de medición de proyecto: Longitud medida según documentación gráfica de Proyecto.Criterio de medición de obra: Se medirá la longitud realmente ejecutada según especificaciones de Proyecto.</t>
  </si>
  <si>
    <t xml:space="preserve">IAO035</t>
  </si>
  <si>
    <t xml:space="preserve">ROSETA DE FIBRA ÓPTICA</t>
  </si>
  <si>
    <t xml:space="preserve">ROSETA DE FIBRA ÓPTICARoseta de fibra óptica formada por conector tipo SC doble y caja de superficie.Incluye: Colocación. Conexionado y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</si>
  <si>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IAO040</t>
  </si>
  <si>
    <t xml:space="preserve">TOMA DE FIBRA ÓPTICA</t>
  </si>
  <si>
    <t xml:space="preserve">TOMA DE FIBRA ÓPTICAToma de fibra óptica con conector tipo SC simple, soporte y marco.Incluye: Montaje, conexionado y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</si>
  <si>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Névola · Fontanería, saneamiento y sanitarios · 16 viviendas</t>
  </si>
  <si>
    <t xml:space="preserve">Capítulo C.14 del proyecto de ejecución (BC3 de julio de 2026). Medición de toda la promoción y su desglose tal como viene en el proyecto. Precios del proyecto (CYPE, PEM, sin IVA), solo como referencia.</t>
  </si>
  <si>
    <t xml:space="preserve">0324FO0901</t>
  </si>
  <si>
    <t xml:space="preserve">DOCUMENTACIÓN Y LEGALIZACIÓN</t>
  </si>
  <si>
    <t xml:space="preserve">Viviendas: 16
Zona común: 1</t>
  </si>
  <si>
    <t xml:space="preserve">DOCUMENTACIÓN Y LEGALIZACIÓNDocumentación y legalización de la instalación, incluyendo los siguientes elementos: - Juego de planos final de obra, con ubicacioón exacta de todos los elementos instalados, en papel y soporte informático. - Juego de esquemas de principio según la instalación definitiva, en papel y soporte informático. - Manual de instrucciones de la instalación. - Normativa de seguridad aplicable a la instalación. - Juego de catalogos de los elementos instalados. - Tasas exigibles por la correspondiente EICI. - Boletines de la instalación realizada, y legalización de la misma en la Dirección General de Industria de la CAM, y Compañía Suministradora, incluso proyectos visados suscrito por técnico competente correspondiente para aquellos suministros que así lo requieran.</t>
  </si>
  <si>
    <t xml:space="preserve">0324FO0902</t>
  </si>
  <si>
    <t xml:space="preserve">PRUEBAS DE LA INSTALACIÓN</t>
  </si>
  <si>
    <t xml:space="preserve">PRUEBAS DE LA INSTALACIÓNPruebas de la instalación según las normativa vigente, entregando a la dirección facultativa hoja resumen con todos los datos obtenidos, la marca, serie y homologación de los aparatos utilizados para realizar las mediciones.</t>
  </si>
  <si>
    <t xml:space="preserve">IFA010</t>
  </si>
  <si>
    <t xml:space="preserve">ACOMETIDA DE ABASTECIMIENTO AGUA POTABLE</t>
  </si>
  <si>
    <t xml:space="preserve">Medidas: 30x30x30cm</t>
  </si>
  <si>
    <t xml:space="preserve">ACOMETIDA DE ABASTECIMIENTO AGUA POTABLEAcometida enterrada para abastecimiento de agua potable de 1.00 m de longitud, que une la red general de distribución de agua potable de la empresa suministradora con la instalación general del edificio, continua en todo su recorrido sin uniones o empalmes intermedios no registrables, formada por tubo de polietileno PE 100, de 32 mm de diámetro exterior, PN=10 atm y 2 mm de espesor, colocada sobre lecho de arena de 15 cm de espesor, en el fondo de la zanja previamente excavada, debidamente compactada y nivelada con pisón vibrante de guiado manual, relleno lateral compactando hasta los riñones y posterior relleno con la misma arena hasta 10 cm por encima de la generatriz superior de la tubería; collarín de toma en carga colocado sobre la red general de distribución que sirve de enlace entre la acometida y la red; llave de corte de esfera de de diámetro con mando de cuadradillo colocada mediante unión, situada junto a la edificación, fuera de los límites de la propiedad, alojada en arqueta prefabricada de polipropileno de 30x30x30 cm, colocada sobre solera de hormigón en masa HM-20/P/20/X0 de 15 cm de espesor. Incluso hormigón en masa HM-20/P/20/X0 para la posterior reposición del firme existente, accesorios y piezas especiales.Criterio de valoración económica: El precio incluye la excavación y el relleno principal.Incluye: Replanteo del recorrido de la acometida, coordinado con el resto de instalaciones o elementos que puedan tener interferencias. Rotura del pavimento con compresor. Eliminación de las tierras sueltas del fondo de la excavación. Vertido y compactación del hormigón en formación de solera. Colocación de la arqueta prefabricada. Vertido de la arena en el fondo de la zanja. Colocación de la tubería. Montaje de la llave de corte. Colocación de la tapa. Ejecución del relleno envolvente. Empalme de la acometida con la red general del municipio. Reposición del firme.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</si>
  <si>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IFB010</t>
  </si>
  <si>
    <t xml:space="preserve">ALIMENTACIÓN AGUA POTABLE</t>
  </si>
  <si>
    <t xml:space="preserve">ALIMENTACIÓN AGUA POTABLEAlimentación de agua potable, de 9,00 m de longitud, enterrada, formada por tubo de acero galvanizado estirado sin soldadura, serie M, de 1" DN 25 mm de diámetro y 3,2 mm de espesor, colocado sobre lecho de arena de 10 cm de espesor, en el fondo de la zanja previamente excavada, debidamente compactada y nivelada con pisón vibrante de guiado manual, relleno lateral compactando hasta los riñones y posterior relleno con la misma arena hasta 10 cm por encima de la generatriz superior de la tubería. Incluso protección de la tubería metálica con cinta anticorrosiva, accesorios y piezas especiales. Sin incluir la excavación ni el posterior relleno principal de las zanjas.Incluye: Replanteo y trazado. Eliminación de las tierras sueltas del fondo de la excavación. Vertido de la arena en el fondo de la zanja. Colocación de la cinta anticorrosiva en la tubería. Colocación de la tubería. Ejecución del relleno envolvente.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</si>
  <si>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IFC010</t>
  </si>
  <si>
    <t xml:space="preserve">PREINSTALACIÓN DE CONTADOR</t>
  </si>
  <si>
    <t xml:space="preserve">PREINSTALACIÓN DE CONTADORPreinstalación de contador general de agua 1 1/4" DN 32 mm, colocado en hornacina, conectado al ramal de acometida y al tubo de alimentación, formada por llave de corte general de compuerta de latón fundido; grifo de comprobación; filtro retenedor de residuos; válvula de retención de latón y llave de salida de compuerta de latón fundido. Incluso marco y tapa de fundición dúctil para registro y material auxiliar.Criterio de valoración económica: El precio no incluye el contador de agua.Incluye: Replanteo. Colocación y fijación de accesorios y piezas especiales. Conexionado y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</si>
  <si>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IFC090</t>
  </si>
  <si>
    <t xml:space="preserve">CONTADOR DE AGUA FRÍA DE LECTURA DIRECTA</t>
  </si>
  <si>
    <t xml:space="preserve">CONTADOR DE AGUA FRÍA DE LECTURA DIRECTAContador de agua fría de lectura directa, de chorro múltiple, caudal nominal 2,5 m³/h, diámetro nominal 20 mm, temperatura máxima 30°C, presión máxima 16 bar, con válvulas de esfera con conexiones roscadas hembra de 3/4" de diámetro.</t>
  </si>
  <si>
    <t xml:space="preserve">IFB020</t>
  </si>
  <si>
    <t xml:space="preserve">ARQUETA DE PASO, 64x48 cm</t>
  </si>
  <si>
    <t xml:space="preserve">Viviendas: 16 × 2.00
Zona común: 1 × 3.00</t>
  </si>
  <si>
    <t xml:space="preserve">Medidas: 51x37cm, 38x25cm</t>
  </si>
  <si>
    <t xml:space="preserve">ARQUETA DE PASO, 64x48 cmArqueta de paso prefabricada, de polipropileno, de sección rectangular de 51x37 cm en la base y 30 cm de altura, con tapa de 38x25 cm, sobre solera de hormigón en masa HM-20/B/20/X0 de 15 cm de espesor. Incluso conexiones de conducciones y remates.Criterio de valoración económica: El precio no incluye la excavación ni el relleno del trasdós.Incluye: Replanteo. Eliminación de las tierras sueltas del fondo de la excavación. Vertido y compactación del hormigón en formación de solera. Colocación de la arqueta prefabricada. Formación de agujeros para el paso de los tubos. Colocación de la tapa y los accesorios.Criterio de medición de proyecto: Número de unidades previstas, según documentación gráfica de Proyecto.Criterio de medición de obra: Se medirá el número de unidades realmente ejecutadas según especificaciones de Proyecto.</t>
  </si>
  <si>
    <t xml:space="preserve">IFI005</t>
  </si>
  <si>
    <t xml:space="preserve">TUBERIA PEXALPEX 32 mm</t>
  </si>
  <si>
    <t xml:space="preserve">Tubería de agua fría
Viviendas: 16 × 9.50
Zona común: 1 × 103.05</t>
  </si>
  <si>
    <t xml:space="preserve">TUBERIA PEXALPEX 32 mmTubería para instalación de fontanería, colocada superficialmente y fijada al paramento, formada por tubo multicapa de polietileno reticulado/aluminio/polietileno reticulado de alta densidad (PE-X/Al/PE-X), serie 5, de 32 mm de diámetro exterior, PN=6 atm y 2,9 mm de espesor, suministrado en rollos. Incluso material auxiliar para montaje y sujeción a la obra, accesorios y piezas especiales.Incluye: Replanteo. Colocación y fijación de tubo y accesorios. Realización de pruebas de servicio.Criterio de medición de proyecto: Longitud medida según documentación gráfica de Proyecto.Criterio de medición de obra: Se medirá la longitud realmente ejecutada según especificaciones de Proyecto.</t>
  </si>
  <si>
    <t xml:space="preserve">IFI005c</t>
  </si>
  <si>
    <t xml:space="preserve">TUBERIA PEXALPEX 25 mm</t>
  </si>
  <si>
    <t xml:space="preserve">Tubería de agua fría
Viviendas: 16 × 2.95
Zona común: 1 × 21.60
Tubería de agua caliente
Viviendas: 16 × 1.95</t>
  </si>
  <si>
    <t xml:space="preserve">TUBERIA PEXALPEX 25 mmTubería para instalación de fontanería, colocada superficialmente y fijada al paramento, formada por tubo multicapa de polietileno reticulado/aluminio/polietileno reticulado de alta densidad (PE-X/Al/PE-X), serie 5, de 25 mm de diámetro exterior, PN=6 atm y 2,3 mm de espesor, suministrado en rollos. Incluso material auxiliar para montaje y sujeción a la obra, accesorios y piezas especiales.Incluye: Replanteo. Colocación y fijación de tubo y accesorios. Realización de pruebas de servicio.Criterio de medición de proyecto: Longitud medida según documentación gráfica de Proyecto.Criterio de medición de obra: Se medirá la longitud realmente ejecutada según especificaciones de Proyecto.</t>
  </si>
  <si>
    <t xml:space="preserve">IFI005b</t>
  </si>
  <si>
    <t xml:space="preserve">TUBERIA PEXALPEX 20 mm</t>
  </si>
  <si>
    <t xml:space="preserve">Tubería de agua fría: 16 × 82.51
Tubería de agua caliente: 16 × 56.07
Tubería de retorno de agua caliente sanitaria: 16 × 21.86
Exterior: 16 × 17.70
Tuberías de agua fría zona común: 1 × 29.90</t>
  </si>
  <si>
    <t xml:space="preserve">TUBERIA PEXALPEX 20 mmTubería para instalación de fontanería, colocada superficialmente y fijada al paramento, formada por tubo multicapa de polietileno reticulado/aluminio/polietileno reticulado de alta densidad (PE-X/Al/PE-X), serie 5, de 20 mm de diámetro exterior, PN=6 atm y 1,9 mm de espesor, suministrado en rollos. Incluso material auxiliar para montaje y sujeción a la obra, accesorios y piezas especiales.Incluye: Replanteo. Colocación y fijación de tubo y accesorios. Realización de pruebas de servicio.Criterio de medición de proyecto: Longitud medida según documentación gráfica de Proyecto.Criterio de medición de obra: Se medirá la longitud realmente ejecutada según especificaciones de Proyecto.</t>
  </si>
  <si>
    <t xml:space="preserve">IFW010</t>
  </si>
  <si>
    <t xml:space="preserve">VÁLVULA DE CORTE</t>
  </si>
  <si>
    <t xml:space="preserve">Viviendas: 16 × 1.00
Zona común: 1 × 2.00</t>
  </si>
  <si>
    <t xml:space="preserve">VÁLVULA DE CORTEVálvula de esfera de latón niquelado para roscar de 1".Incluye: Replanteo. Colocación, conexionado y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</si>
  <si>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IFI008</t>
  </si>
  <si>
    <t xml:space="preserve">LLAVE DE PASO</t>
  </si>
  <si>
    <t xml:space="preserve">Viviendas: 16 × 13.00
Zona común: 1 × 2.00</t>
  </si>
  <si>
    <t xml:space="preserve">LLAVE DE PASOVálvula de esfera de latón niquelado para roscar de 3/4".Incluye: Replanteo. Conexión de la válvula a los tubos.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</si>
  <si>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NAA010b</t>
  </si>
  <si>
    <t xml:space="preserve">COQUILLA ESPUMA ELASTOMÉRICA 23,0 mm/10 mm</t>
  </si>
  <si>
    <t xml:space="preserve">Tubería de agua caliente: 16 × 24.13</t>
  </si>
  <si>
    <t xml:space="preserve">COQUILLA ESPUMA ELASTOMÉRICA 23,0 mm/10 mmAislamiento térmico del tramo que conecta la tubería general con la unidad terminal, de menos de 10 m de longitud en instalación interior de A.C.S., empotrada en la pared, para la distribución de fluidos calientes (de +40°C a +60°C), formado por coquilla de espuma elastomérica, con un elevado factor de resistencia a la difusión del vapor de agua, de 23,0 mm de diámetro interior y 10,0 mm de espesor, a base de caucho sintético flexible, de estructura celular cerrada, con adhesivo para las uniones.Incluye: Preparación de la superficie soporte. Replanteo y corte del aislamiento. Colocación del aislamiento.Criterio de medición de proyecto: Longitud medida según documentación gráfica de Proyecto.Criterio de medición de obra: Se medirá la longitud realmente ejecutada según especificaciones de Proyecto.</t>
  </si>
  <si>
    <t xml:space="preserve">NAA010c</t>
  </si>
  <si>
    <t xml:space="preserve">COQUILLA ESPUMA ELASTOMÉRICA 19,0 mm/25 mm</t>
  </si>
  <si>
    <t xml:space="preserve">Tubería de agua caliente: 16 × 5.46</t>
  </si>
  <si>
    <t xml:space="preserve">COQUILLA ESPUMA ELASTOMÉRICA 19,0 mm/25 mmAislamiento térmico de tubería en instalación interior de A.C.S., colocada superficialmente, para la distribución de fluidos calientes (de +60°C a +100°C), formado por coquilla de espuma elastomérica, de 19 mm de diámetro interior y 25 mm de espesor, a base de caucho sintético flexible, de estructura celular cerrada, con adhesivo para las uniones.Incluye: Preparación de la superficie soporte. Replanteo y corte del aislamiento. Colocación del aislamiento.Criterio de medición de proyecto: Longitud medida según documentación gráfica de Proyecto.Criterio de medición de obra: Se medirá la longitud realmente ejecutada según especificaciones de Proyecto.</t>
  </si>
  <si>
    <t xml:space="preserve">NAA010d</t>
  </si>
  <si>
    <t xml:space="preserve">COQUILLA ESPUMA ELASTOMÉRICA 23,0 mm/25,0 mm</t>
  </si>
  <si>
    <t xml:space="preserve">Tubería de agua caliente: 16 × 26.49
Tubería de retorno de agua caliente sanitaria: 16 × 21.86</t>
  </si>
  <si>
    <t xml:space="preserve">COQUILLA ESPUMA ELASTOMÉRICA 23,0 mm/25,0 mmAislamiento térmico de tubería en instalación interior de A.C.S., colocada superficialmente, para la distribución de fluidos calientes (de +60°C a +100°C), formado por coquilla de espuma elastomérica, de 23 mm de diámetro interior y 25 mm de espesor, a base de caucho sintético flexible, de estructura celular cerrada, con adhesivo para las uniones.Incluye: Preparación de la superficie soporte. Replanteo y corte del aislamiento. Colocación del aislamiento.Criterio de medición de proyecto: Longitud medida según documentación gráfica de Proyecto.Criterio de medición de obra: Se medirá la longitud realmente ejecutada según especificaciones de Proyecto.</t>
  </si>
  <si>
    <t xml:space="preserve">NAA010e</t>
  </si>
  <si>
    <t xml:space="preserve">COQUILLA ESPUMA ELASTOMÉRICA 26,0 mm/25 mm</t>
  </si>
  <si>
    <t xml:space="preserve">Tubería de retorno de agua caliente sanitaria: 16 × 1.41</t>
  </si>
  <si>
    <t xml:space="preserve">COQUILLA ESPUMA ELASTOMÉRICA 26,0 mm/25 mmAislamiento térmico de tubería en instalación interior de A.C.S., colocada superficialmente, para la distribución de fluidos calientes (de +60°C a +100°C), formado por coquilla de espuma elastomérica, de 26 mm de diámetro interior y 25 mm de espesor, a base de caucho sintético flexible, de estructura celular cerrada, con adhesivo para las uniones.Incluye: Preparación de la superficie soporte. Replanteo y corte del aislamiento. Colocación del aislamiento.Criterio de medición de proyecto: Longitud medida según documentación gráfica de Proyecto.Criterio de medición de obra: Se medirá la longitud realmente ejecutada según especificaciones de Proyecto.</t>
  </si>
  <si>
    <t xml:space="preserve">01113</t>
  </si>
  <si>
    <t xml:space="preserve">SIFÓN INDIVIDUAL</t>
  </si>
  <si>
    <t xml:space="preserve">TODA LA OBRA
Cocina: 16 × 2.00
Lavadero: 16 × 2.00</t>
  </si>
  <si>
    <t xml:space="preserve">SIFÓN INDIVIDUALSifón individual para aparatos electrodomésticos y aparatos sanitarios, de PVC de D=32 mm., totalmente instalado.</t>
  </si>
  <si>
    <t xml:space="preserve">01117</t>
  </si>
  <si>
    <t xml:space="preserve">BOTE SIFÓNICO PVC D=110 mm EMPOTRADO</t>
  </si>
  <si>
    <t xml:space="preserve">TODA LA OBRA
Baño 1: 16 × 1.00
Baño 2: 16 × 1.00
Baño principal: 16 × 1.00</t>
  </si>
  <si>
    <t xml:space="preserve">BOTE SIFÓNICO PVC D=110 mm EMPOTRADOBote sifónico de PVC, de 110 mm de diámetro, colocado en el grueso del forjado, con cuatro entradas de 40 mm, y una salida de 50 mm, tapa de acero inoxidable, con sistema de cierre por lengüeta de caucho a presión. Totalmente montado, incluso conexionado del ramal de salida hasta la bajante o manguetón, con tubería de PVC de 50 mm de diámetro, p.p. de piezas especiales, pequeño material y p.p de medios auxiliares. Conforme a CTE DB HS-5.</t>
  </si>
  <si>
    <t xml:space="preserve">01114</t>
  </si>
  <si>
    <t xml:space="preserve">TUBERÍA PVC SERIE B JUNTA PEGADA D=32 mm</t>
  </si>
  <si>
    <t xml:space="preserve">TODA LA OBRA
Lavabos: 16 × 4.00 × 2.50
Duchas: 16 × 2.00 × 2.50
Bañera: 16 × 1.00 × 2.50</t>
  </si>
  <si>
    <t xml:space="preserve">TUBERÍA PVC SERIE B JUNTA PEGADA D=32 mmTubería de PVC serie B, de 32 mm de diámetro, unión pegada, conforme UNE EN1453-1; insonorizada y con una resistencia al fuego B-s1,d0, conforme UNE-EN 13501-1; colocada en instalaciones interiores de evacuación de aguas residuales. Totalmente montada, incluyendo p.p. de piezas especiales (codos, manguitos, etc) y p.p de medios auxiliares. Conforme a CTE DB HS-5.</t>
  </si>
  <si>
    <t xml:space="preserve">01115</t>
  </si>
  <si>
    <t xml:space="preserve">TUBERÍA PVC SERIE B JUNTA PEGADA D=40 mm</t>
  </si>
  <si>
    <t xml:space="preserve">TODA LA OBRA
Fregadero: 16 × 2.00 × 2.50
Lavadora/Lavavajillas: 16 × 2.00 × 2.50
SRad: 16 × 2.00 × 2.00
Tubería aireación
Baño 1: 16 × 6.50
Baño 2: 16 × 3.50
Baño principal: 16 × 3.50</t>
  </si>
  <si>
    <t xml:space="preserve">TUBERÍA PVC SERIE B JUNTA PEGADA D=40 mmTubería de PVC serie B, de 40 mm de diámetro, unión pegada, conforme UNE EN1453-1; insonorizada y con una resistencia al fuego B-s1,d0, conforme UNE-EN 13501-1; colocada en instalaciones interiores de evacuación de aguas residuales. Totalmente montada, incluyendo p.p. de piezas especiales (codos, manguitos, etc) y p.p de medios auxiliares. Conforme a CTE DB HS-5.</t>
  </si>
  <si>
    <t xml:space="preserve">ISB041</t>
  </si>
  <si>
    <t xml:space="preserve">TUBERÍA PVC SERIE B JUNTA PEGADA D=75 mm</t>
  </si>
  <si>
    <t xml:space="preserve">TODA LA OBRA  (ventilación secundaria): 16 × 2.00 × 3.80
16 × 1.00 × 6.80</t>
  </si>
  <si>
    <t xml:space="preserve">TUBERÍA PVC SERIE B JUNTA PEGADA D=75 mmSuministro y montaje de tubería para ventilación secundaria de la red de evacuación de aguas, formada por tubo de PVC, de 75 mm de diámetro y 1,2 mm de espesor; unión pegada con adhesivo. Incluso líquido limpiador, adhesivo para tubos y accesorios de PVC, material auxiliar para montaje y sujeción a la obra, accesorios y piezas especiales.</t>
  </si>
  <si>
    <t xml:space="preserve">01116</t>
  </si>
  <si>
    <t xml:space="preserve">TUBERÍA PVC SERIE B JUNTA PEGADA D=110 mm</t>
  </si>
  <si>
    <t xml:space="preserve">TODA LA OBRA
Inodoros: 16 × 3.00 × 1.50</t>
  </si>
  <si>
    <t xml:space="preserve">TUBERÍA PVC SERIE B JUNTA PEGADA D=110 mmTubería de PVC serie B, de 110 mm de diámetro, unión pegada, conforme UNE EN1453-1; insonorizada y con una resistencia al fuego B-s1,d0, conforme UNE-EN 13501-1; colocada en instalaciones interiores de evacuación de aguas residuales. Totalmente montada, incluyendo p.p. de piezas especiales (codos, manguitos, etc) y p.p de medios auxiliares. Conforme a CTE DB HS-5.</t>
  </si>
  <si>
    <t xml:space="preserve">ISB044</t>
  </si>
  <si>
    <t xml:space="preserve">TERMINAL DE AIREACIÓN</t>
  </si>
  <si>
    <t xml:space="preserve">TODA LA OBRA: 16 × 3.00</t>
  </si>
  <si>
    <t xml:space="preserve">TERMINAL DE AIREACIÓNSombrerete de ventilación de PVC, de 75 mm de diámetro, para tubería de ventilación, conectado al extremo superior de la bajante con unión pegada con adhesivo. Incluso líquido limpiador y adhesivo para tubos y accesorios de PVC.</t>
  </si>
  <si>
    <t xml:space="preserve">SAC020b</t>
  </si>
  <si>
    <t xml:space="preserve">INODORO DE PORCELANA SANITARIA</t>
  </si>
  <si>
    <t xml:space="preserve">INODORO DE PORCELANA SANITARIAInodoro de porcelana sanitaria con tanque bajo gama media, marca GALA o similar, color blanco, compuesto de taza, asiento, tapa especial, mecanismo de doble descarga, salida dual con juego de fijación y codo de evacuación. Incluso llave de regulación, enlace de alimentación flexible y sellado con silicona.</t>
  </si>
  <si>
    <t xml:space="preserve">SAC020</t>
  </si>
  <si>
    <t xml:space="preserve">LAVABO DE PORCELANA SANITARIA</t>
  </si>
  <si>
    <t xml:space="preserve">TODA LA OBRA
Baño 2: 16 × 1.00</t>
  </si>
  <si>
    <t xml:space="preserve">Medidas: 650x470mm · Color: blanco</t>
  </si>
  <si>
    <t xml:space="preserve">LAVABO DE PORCELANA SANITARIALavabo de porcelana sanitaria con pedestal, gama media, marca GALA o similar, color blanco, de 650x470 mm, con grifería monomando, gama media, acabado cromado, con aireador y desagüe, acabado acabado cromado. Incluso llaves de regulación, enlaces de alimentación flexibles y sellado con silicona.</t>
  </si>
  <si>
    <t xml:space="preserve">SAC020c</t>
  </si>
  <si>
    <t xml:space="preserve">BAÑERA DE ACERO 140X75 cm</t>
  </si>
  <si>
    <t xml:space="preserve">Medidas: 140x75cm · Color: blanco</t>
  </si>
  <si>
    <t xml:space="preserve">BAÑERA DE ACERO 140X75 cmBañera de acero gama media, marca GALA o similar, color blanco, de 140x75 cm, asas cromadas, con faldón frontal, con grifería termostática, gama media, acabado cromado. Incluso sellado con silicona.</t>
  </si>
  <si>
    <t xml:space="preserve">01120cb</t>
  </si>
  <si>
    <t xml:space="preserve">PLATO DE DUCHA DE RESINA 160x75x40</t>
  </si>
  <si>
    <t xml:space="preserve">TODA LA OBRA
Baño 1: 16 × 1.00</t>
  </si>
  <si>
    <t xml:space="preserve">Medidas: 750x1600x40mm · Color: blanco</t>
  </si>
  <si>
    <t xml:space="preserve">PLATO DE DUCHA DE RESINA 160x75x40Plato de ducha rectangular, de resina, color blanco, gama media, marca GALA o similar, acabado mate imitación piedra, con fondo antideslizante y orificio de desagüe en un lateral de 90 mm de diámetro, de 750x1600x40 mm, con válvula sifónica de 30 mm de altura de sifón, con grifería monomando formada por grifo mezclador monomando mural para ducha, gama media, elementos de conexión, válvula antirretorno y dos llaves de paso.</t>
  </si>
  <si>
    <t xml:space="preserve">01120c</t>
  </si>
  <si>
    <t xml:space="preserve">PLATO DE DUCHA DE RESINA 180x75x40</t>
  </si>
  <si>
    <t xml:space="preserve">TODA LA OBRA
Baño principal: 16 × 1.00</t>
  </si>
  <si>
    <t xml:space="preserve">Medidas: 750x1800x40mm · Color: blanco</t>
  </si>
  <si>
    <t xml:space="preserve">PLATO DE DUCHA DE RESINA 180x75x40Plato de ducha rectangular, de resina, color blanco, gama media, marca GALA o similar, acabado mate imitación piedra, con fondo antideslizante y orificio de desagüe en un lateral de 90 mm de diámetro, de 750x1800x40 mm, con válvula sifónica de 30 mm de altura de sifón, con grifería monomando formada por grifo mezclador monomando mural para ducha, gama media, elementos de conexión, válvula antirretorno y dos llaves de paso.</t>
  </si>
  <si>
    <t xml:space="preserve">0324FO0601</t>
  </si>
  <si>
    <t xml:space="preserve">PROGRAMADOR ELECTRÓNICO</t>
  </si>
  <si>
    <t xml:space="preserve">Zona común: 1</t>
  </si>
  <si>
    <t xml:space="preserve">PROGRAMADOR ELECTRÓNICOSuministro e instalación de programador electrónico para riego automático, para hasta 3 estaciones, con 2 programas y 2 arranques diarios por programa, alimentación por transformador 230/24 V interno, con colocación mural en interior. Incluso programación. Totalmente montado y conexionado.</t>
  </si>
  <si>
    <t xml:space="preserve">URE010b</t>
  </si>
  <si>
    <t xml:space="preserve">BOCA DE RIEGO</t>
  </si>
  <si>
    <t xml:space="preserve">Prevision viviendas: 16 × 2.00
Zona común: 1 × 4.00</t>
  </si>
  <si>
    <t xml:space="preserve">BOCA DE RIEGOSuministro e instalación de boca de riego, formada por cuerpo y tapa de fundición con cerradura de cuadradillo, brida de entrada, llave de corte y racor de salida roscado macho de latón de 1 1/2" de diámetro, enterrada. Incluso accesorios de conexión a la tubería de abastecimiento y distribución. Totalmente montada, conexionada y probada.</t>
  </si>
  <si>
    <t xml:space="preserve">0324FO0602</t>
  </si>
  <si>
    <t xml:space="preserve">ELECTROVÁLVULA</t>
  </si>
  <si>
    <t xml:space="preserve">Zona común: 4</t>
  </si>
  <si>
    <t xml:space="preserve">ELECTROVÁLVULASuministro e instalacion de electroválvula para riego, cuerpo de PVC y polipropileno, conexiones roscadas, de 1" de diámetro, alimentación del solenoide a 24 Vca, con posibilidad de apertura manual y regulador de caudal,</t>
  </si>
  <si>
    <t xml:space="preserve">0324FO0603</t>
  </si>
  <si>
    <t xml:space="preserve">ASPERSOR ELEVACIÓN</t>
  </si>
  <si>
    <t xml:space="preserve">Zona común: 42</t>
  </si>
  <si>
    <t xml:space="preserve">ASPERSOR ELEVACIÓNSuministro e instalación de aspersor de elevación automática de turbina, de latón, altura variable según planos, con arco ajustable, radio de 5 a 20 m regulable con tornillo, conexión de 3/4" de diámetro. Incluyendo collarín de toma de PP con dos tornillos, para tubo de 32 mm de diámetro exterior, con toma para conexión roscada de 3/4" de diámetro, PN=16 atm, con juntas elásticas de EPDM, según UNE-EN ISO 15874-3. P.P. de tubería de longitud regulable con dos codos articulados en sus extremos, de 3/4" de diámetro. Incluso accesorios de conexión a la tubería de abastecimiento y distribución.</t>
  </si>
  <si>
    <t xml:space="preserve">0324FO0604</t>
  </si>
  <si>
    <t xml:space="preserve">TUBERÍA PEBD DIÁMETRO 32 mm</t>
  </si>
  <si>
    <t xml:space="preserve">Zona común: 1 × 275.00</t>
  </si>
  <si>
    <t xml:space="preserve">Color: negro; azul</t>
  </si>
  <si>
    <t xml:space="preserve">TUBERÍA PEBD DIÁMETRO 32 mmSuministro e instalación de tubería de abastecimiento y distribución de agua de riego, formada por tubo de polietileno de PEBD de color negro con bandas de color azul, de 32 mm de diámetro exterior y 4,4 mm de espesor, PN=10 atm, enterrada, colocada sobre lecho de arena de 10 cm de espesor, debidamente compactada y nivelada con pisón vibrante de guiado manual, relleno lateral compactando hasta los riñones y posterior relleno con la misma arena hasta 10 cm por encima de la generatriz superior de la tubería. Incluso accesorios de conexión.</t>
  </si>
  <si>
    <t xml:space="preserve">0324FO0606</t>
  </si>
  <si>
    <t xml:space="preserve">LÍNEA ELÉCTRICA</t>
  </si>
  <si>
    <t xml:space="preserve">Zona común: 1 × 110.00</t>
  </si>
  <si>
    <t xml:space="preserve">LÍNEA ELÉCTRICASuministro e instalación de línea eléctrica monofásica enterrada para alimentación de electroválvulas y automatismos de riego, formada por cables unipolares con conductores de cobre, RZ1-K (AS) Cca-s1b,d1,a1 3G1,5 mm², siendo su tensión asignada de 0,6/1 kV, bajo tubo protector de polietileno de doble pared, de 40 mm de diámetro, resistencia a compresión mayor de 250 N, suministrado en rollo, colocado sobre lecho de arena de 10 cm de espesor, debidamente compactada y nivelada con pisón vibrante de guiado manual, relleno lateral compactando hasta los riñones y posterior relleno con la misma arena hasta 10 cm por encima de la generatriz superior de la tubería, sin incluir la excavación ni el posterior relleno principal de las zanjas. Totalmente montada y conexionada.</t>
  </si>
  <si>
    <t xml:space="preserve">0324FO0608</t>
  </si>
  <si>
    <t xml:space="preserve">VÁLVULA ESFERA LATÓN 1"</t>
  </si>
  <si>
    <t xml:space="preserve">VÁLVULA ESFERA LATÓN 1"Suministro e instalación de válvula de esfera de laton de 1".</t>
  </si>
  <si>
    <t xml:space="preserve">0324FO0609</t>
  </si>
  <si>
    <t xml:space="preserve">VÁLVULA ESFERA LATÓN 3/4"</t>
  </si>
  <si>
    <t xml:space="preserve">Zona común: 1 × 3.00</t>
  </si>
  <si>
    <t xml:space="preserve">VÁLVULA ESFERA LATÓN 3/4"Suministro e instalación de válvula de esfera de laton de ¾".</t>
  </si>
  <si>
    <t xml:space="preserve">0324FO0610</t>
  </si>
  <si>
    <t xml:space="preserve">VÁLVULA REDUCTORA LATÓN 1"</t>
  </si>
  <si>
    <t xml:space="preserve">VÁLVULA REDUCTORA LATÓN 1"Suministro e instalación de valvula de reductora de latón 1".</t>
  </si>
  <si>
    <t xml:space="preserve">0324FO0611</t>
  </si>
  <si>
    <t xml:space="preserve">FILTRO DE MALLA 1"</t>
  </si>
  <si>
    <t xml:space="preserve">FILTRO DE MALLA 1"Suministro e instalación de filtro de malla de 1".</t>
  </si>
  <si>
    <t xml:space="preserve">Névola · Climatización, ACS y ventilación · 16 viviendas</t>
  </si>
  <si>
    <t xml:space="preserve">Capítulo C.15 del proyecto de ejecución (BC3 de julio de 2026). Medición de toda la promoción y su desglose tal como viene en el proyecto. Precios del proyecto (CYPE, PEM, sin IVA), solo como referencia.</t>
  </si>
  <si>
    <t xml:space="preserve">ICE110</t>
  </si>
  <si>
    <t xml:space="preserve">SUELO RADIANTE-REFRESCANTE</t>
  </si>
  <si>
    <t xml:space="preserve">16 × 125.00</t>
  </si>
  <si>
    <t xml:space="preserve">Medidas: 150x7mm, 1334x1000mm · Color: negro · Marca/serie: POLYTHERM, LAFARGEHOLCIM</t>
  </si>
  <si>
    <t xml:space="preserve">SUELO RADIANTE-REFRESCANTESuministro e instalación de sistema de calefacción y refrigeración por suelo radiante Premium "POLYTHERM", formado por film de polietileno de 0,18 mm de espesor, banda de espuma de polietileno (PE), de 150x7 mm, panel de poliestireno termoconformado con estructura celular cerrada formado por capa de aislamiento acústico y capa de aislamiento térmico con plastificado en su cara superior color negro, de 45 mm de espesor total y 1334x1000 mm, modelo Pol-Pro Black 22/44, tubo de polietileno reticulado de alta densidad (PE-Xb) con barrera de oxígeno (EVOH) y recubrimiento exterior de polímero con micropartículas metálicas, Polytherm Evohflex Pro Black, de 16 mm de diámetro exterior y 2 mm de espesor, y mortero autonivelante, Agilia Suelo A "LAFARGEHOLCIM", CA - C20 - F4 según UNE-EN 13813, de 50 mm de espesor. Totalmente montado, conexionado y probado.Incluye: Preparación y limpieza de la superficie de apoyo. Replanteo de la instalación. Extendido del film de polietileno. Fijación del zócalo perimetral. Colocación de los paneles. Replanteo de la tubería. Colocación y fijación de las tuberías. Vertido y extendido de la capa de mortero autonivelante.Criterio de medición de proyecto: Superficie útil, medida según documentación gráfica de Proyecto.Criterio de medición de obra: Se medirá la superficie realmente ejecutada según especificaciones de Proyecto.</t>
  </si>
  <si>
    <t xml:space="preserve">SU100.015</t>
  </si>
  <si>
    <t xml:space="preserve">TIRA PERIMETRAL</t>
  </si>
  <si>
    <t xml:space="preserve">TIRA PERIMETRAL: 16 × 125.00 × 1.20</t>
  </si>
  <si>
    <t xml:space="preserve">TIRA PERIMETRALBanda de espuma de polietileno que se instala en forma de rodapié en todos los paramentos verticales para absorber las dilataciones de los pavimentos y eliminar los puentes térmicos con los cerramientos. Incorpora un film de polietileno para evitar la filtración de mortero entre el aislamiento perimetral y aislamiento del suelo.Suministro en rollos de 50 m de 15 cm de altura y 7 mm de espesor.</t>
  </si>
  <si>
    <t xml:space="preserve">SU100.100</t>
  </si>
  <si>
    <t xml:space="preserve">HOJA DE PE</t>
  </si>
  <si>
    <t xml:space="preserve">HOJA DE PE: 16 × 125.00 × 1.20</t>
  </si>
  <si>
    <t xml:space="preserve">HOJA DE PEFilm de polietileno que se instala debajo del aislamiento como barrera anti-vapor en aquellas zonas que se encuentren en contacto con el terreno, o en las que existan problemas de condensación (Rollos de 100 m²)</t>
  </si>
  <si>
    <t xml:space="preserve">SU100.030</t>
  </si>
  <si>
    <t xml:space="preserve">GUÍA PARA JUNTAS DE DILATACIÓN</t>
  </si>
  <si>
    <t xml:space="preserve">CIRCUITOS: 16 × 10.00</t>
  </si>
  <si>
    <t xml:space="preserve">GUÍA PARA JUNTAS DE DILATACIÓNGuía auto-adhesiva para la colocación de la tira perimetral como junta de dilatación en paso de puertas y juntas intermedias.DATOS TÉCNICOS:Longitud:1.000 mm</t>
  </si>
  <si>
    <t xml:space="preserve">SU100.010</t>
  </si>
  <si>
    <t xml:space="preserve">ADITIVO ESTROLITH H.2000</t>
  </si>
  <si>
    <t xml:space="preserve">ADITIVO ESTROLITH H.2000: 16 × 125.00 × 0.25</t>
  </si>
  <si>
    <t xml:space="preserve">ADITIVO ESTROLITH H.2000Aditivo para mortero. Mejora la conductividad térmica y la resistencia mecánica de los morteros.Dosificación: 0.33 l por cada 35 kg de cemento.</t>
  </si>
  <si>
    <t xml:space="preserve">ICV01588</t>
  </si>
  <si>
    <t xml:space="preserve">BIBLOCK VAILLANT 10KW</t>
  </si>
  <si>
    <t xml:space="preserve">EQUIPOS: 16</t>
  </si>
  <si>
    <t xml:space="preserve">Medidas: 965x1100x450mm, 1880x599x693mm · Marca/serie: VAILLANT</t>
  </si>
  <si>
    <t xml:space="preserve">BIBLOCK VAILLANT 10KWBomba de calor reversible aire-agua, modelo aroTHERM plus uniTOWER 8 "VAILLANT", formada por unidad exterior VWL 85/6 230V S3, clase de eficiencia energética A+++, potencia calorífica nominal 10,1 kW (temperatura de bulbo húmedo del aire exterior 7°C, temperatura de salida del agua 35°C, salto térmico 5°C), potencia frigorífica nominal 7,7 kW (temperatura de bulbo seco del aire exterior 35°C, temperatura de salida del agua 18°C, salto térmico 5°C), EER (calificación energética nominal) 3,46, COP (coeficiente energético nominal) 4,79, potencia sonora 58 dBA, dimensiones 965x1100x450 mm, peso 128 kg, alimentación monofásica a 230 V, rango de funcionamiento de temperatura del aire exterior desde -25 hasta 46°C, producción de agua caliente desde 5°C hasta 63°C, con compresor rotativo de alto rendimiento con modulación Inverter DC, intercambiador de placas de acero inoxidable, intercambiador externo de cobre con aleteado de alta capacidad, refrigerante R-410A, sonda de temperatura exterior, batería de intercambio con ventilador modulante de alto rendimiento, revestimiento exterior anticorrosión, bomba de circulación con clase de eficiencia energética A, armario interior con interacumulador VIH QW 190/6, para producción de A.C.S. dimensiones 1880x599x693 mm, capacidad 185 l, clase de eficiencia energética en A.C.S. A, perfil de consumo XL, peso 143 kg, de acero inoxidable, con vaso de expansión de 15 l, resistencia eléctrica de apoyo con tres escalones de potencia de 2, 4 y 6 kW, válvula de 3 vías para producción de A.C.S., válvula de seguridad y sistema de control sensoCOMFORT VRC 720f, con control de la temperatura con sonda exterior, display digital, inalámbrico, programación diaria y semanal, para control de varios circuitos de calefacción con módulos y termostatos adicionales, con control desde smartphone o tablet mediante la App myVaillant para IOS (iPhone e iPad) y Android, con vaso de expansión de 8 l para recirculación de A.C.S., con acumulador de inercia para calefacción, de 18 l de capacidad, con control remoto para gestión de circuito de calefacción, inalámbrico, VR 92f, con módulo para el control de 3 circuitos adicionales de calefacción, VR 71. Totalmente montada, conexionada y puesta en marcha por la empresa instaladora para la comprobación de su correcto funcionamiento.Incluye: Replanteo de la unidad. Colocación y fijación de la unidad y sus accesorios. Conexionado con las redes de conducción de agua, eléctrica y de recogida de condensados. Puesta en marcha.Criterio de medición de proyecto: Número de unidades previstas, según documentación gráfica de Proyecto.Criterio de medición de obra: Se medirá el número de unidades realmente ejecutadas según especificaciones de Proyecto.Criterio de valoración económica: El precio no incluye los elementos antivibratorios de suelo.</t>
  </si>
  <si>
    <t xml:space="preserve">SU100.505</t>
  </si>
  <si>
    <t xml:space="preserve">VÁLVULA PARA DISTRIBUIDOR CONEXIÓN DIRECTA</t>
  </si>
  <si>
    <t xml:space="preserve">ARMARIOS COLECTORES: 16 × 2.00</t>
  </si>
  <si>
    <t xml:space="preserve">VÁLVULA PARA DISTRIBUIDOR CONEXIÓN DIRECTAVálvula de esfera para distribuidor.</t>
  </si>
  <si>
    <t xml:space="preserve">SU100.110</t>
  </si>
  <si>
    <t xml:space="preserve">VÁLVULA DE PRESION DIFERENCIAL TERMINAL</t>
  </si>
  <si>
    <t xml:space="preserve">VÁLVULA DE PRESION DIFERENCIAL TERMINALVálvula de presión diferencial para conexión sobre tapones de colector.</t>
  </si>
  <si>
    <t xml:space="preserve">004.003.001b4</t>
  </si>
  <si>
    <t xml:space="preserve">SU101.428 - DISTRIBUIDOR HKV 15-16 ESTRATO</t>
  </si>
  <si>
    <t xml:space="preserve">Marca/serie: ESTRATO</t>
  </si>
  <si>
    <t xml:space="preserve">DISTRIBUIDOR HKV CON ESTRATO COMPLETO PARA SUELO RADIANTE, COMPUESTO DE:Colector de impulsión con válvulas para accionamiento eléctrico incorporadas.Colector de retorno con medidores de caudal de regulación integrada en cada circuito. Purgador automático, grifo de llenado y prueba.Soportes para fijación en caja o pared, y adaptadores para tubo de Ø15 x 1,5 y Ø16x1,8/2.Totalmente montado.Incluye además una estación de tratamiento "ESTRATO" compuesta de separador de aire/gases, separador de sólidos en suspensión (lodos) y opcionalmente puede incorporar un capturador magnético para residuos férricos y un ánodo de sacrificio en magnesio.Temperatura max. de trabajo 60ºCBy-pass con válvula de presión diferencial para conexión sobre tapones de colector.(opcional)</t>
  </si>
  <si>
    <t xml:space="preserve">SU100.012</t>
  </si>
  <si>
    <t xml:space="preserve">CODOS GUÍA Ø15-16</t>
  </si>
  <si>
    <t xml:space="preserve">CIRCUITOS: 16 × 10.00 × 2.00</t>
  </si>
  <si>
    <t xml:space="preserve">CODOS GUÍA Ø15-16Curva de polipropileno reforzada con fibra de vidrio para la protección de los tubos a la salida del mortero hacia el distribuidor. Se instalan 2 por circuito.</t>
  </si>
  <si>
    <t xml:space="preserve">SU100.9205</t>
  </si>
  <si>
    <t xml:space="preserve">ARMARIO ACT 925 PARA DISTRIBUIDOR DE 7 a 11 CIRCUITOS</t>
  </si>
  <si>
    <t xml:space="preserve">Color: RAL 9016</t>
  </si>
  <si>
    <t xml:space="preserve">ARMARIO ACT 925 PARA DISTRIBUIDOR DE 7 a 11 CIRCUITOSArmario para alojar distribuidor y placa electrónica, con cerco desmontable y tapa con regulación de profundidad entre 90 y 140 mm, realizado en chapa de acero con tapa y cerco pintada al horno (RAL 9016), y guías para fijación de soportes de los distribuidores y placas electrónicas.NOTA: En el caso de usar distribuidores con Grupos hidráulicos se usará el:DRE675 para distribuidor de 2 a 6 circuitosDRE925 para distribuidor de 7 a 11 circuitos</t>
  </si>
  <si>
    <t xml:space="preserve">SU100.740</t>
  </si>
  <si>
    <t xml:space="preserve">TERMOSTATO ELECTRÓNICO FRÍO/CALOR (3 HILOS)</t>
  </si>
  <si>
    <t xml:space="preserve">ESTANCIAS: 16 × 5.00</t>
  </si>
  <si>
    <t xml:space="preserve">TERMOSTATO ELECTRÓNICO FRÍO/CALOR (3 HILOS)Termostato electrónico digital para control de temperatura ambiente frio/calor. (Su colocación para suelo radiante oscila entre 1 y 1,5 m del suelo)Dimensiones: 86x86x16 mmConexiones: 3 hilosAlimentación: 230V</t>
  </si>
  <si>
    <t xml:space="preserve">SU100.513</t>
  </si>
  <si>
    <t xml:space="preserve">ACCIONAMIENTO ELECTRICO</t>
  </si>
  <si>
    <t xml:space="preserve">ARMARIOS: 16 × 2.00</t>
  </si>
  <si>
    <t xml:space="preserve">ACCIONAMIENTO ELECTRICOAccionamiento eléctrico para apertura de válvulas en distribuidores HKV y FBH</t>
  </si>
  <si>
    <t xml:space="preserve">SU102.009</t>
  </si>
  <si>
    <t xml:space="preserve">PLACA ELECTRÓNICA 6 ZONAS 230V</t>
  </si>
  <si>
    <t xml:space="preserve">PLACA ELECTRÓNICA 6 ZONAS 230VPara interconexión entre accionamientos eléctricos y termostatos. Leds indicadores de funcionamiento para cada uno de los circuitos, relé con salida para caldera o bomba de calor, relé de bomba de circulación swits para temporización para relés de caldera y bomba para que no empiecen a funcionar hasta que las válvulas estén abiertas y entrada para sonda de condensación.</t>
  </si>
  <si>
    <t xml:space="preserve">ICS010c</t>
  </si>
  <si>
    <t xml:space="preserve">TUBERIA 25 mm</t>
  </si>
  <si>
    <t xml:space="preserve">RAMALES PRINCIPALES: 16 × 2.00 × 7.00</t>
  </si>
  <si>
    <t xml:space="preserve">Color: blanco · Marca/serie: UPONOR IBERIA</t>
  </si>
  <si>
    <t xml:space="preserve">TUBERIA 25 mmTubería de distribución de agua fría y caliente de climatización formada por tubo de polietileno reticulado (PE-Xa), de 5 capas según el método UAX, con barrera de oxígeno (EVOH) y capa de protección de polietileno (PE) modificado, de 25 mm de diámetro exterior y 2,3 mm de espesor, PN=6 atm, color blanco, modelo Comfort Pipe PLUS "UPONOR IBERIA", suministrado en rollos, colocado superficialmente en el interior del edificio, con aislamiento mediante coquilla flexible de espuma elastomérica. Incluso p/p de material auxiliar para montaje y sujeción a la obra, accesorios y piezas especiales. Totalmente montada, conexionada y probada.Incluye: Replanteo del recorrido de las tuberías, accesorios y piezas especiales. Colocación y fijación de tuberías, accesorios y piezas especiales. Colocación del aislamiento. Realización de pruebas de servicio.Criterio de medición de proyecto: Longitud medida según documentación gráfica de Proyecto.Criterio de medición de obra: Se medirá la longitud realmente ejecutada según especificaciones de Proyecto.</t>
  </si>
  <si>
    <t xml:space="preserve">ICN010</t>
  </si>
  <si>
    <t xml:space="preserve">LINEA FRIGORIFICA 5/8" - 3/8"</t>
  </si>
  <si>
    <t xml:space="preserve">LINEA FRIGORIFICA 5/8" - 3/8"Línea frigorífica doble realizada con tubería para gas mediante tubo de cobre sin soldadura, de 5/8" de diámetro y 1 mm de espesor con coquilla de espuma elastomérica, de 16 mm de diámetro interior y 15 mm de espesor, a base de caucho sintético flexible, de estructura celular cerrada y tubería para líquido mediante tubo de cobre sin soldadura, de 3/8" de diámetro y 0,8 mm de espesor con coquilla de espuma elastomérica, de 11 mm de diámetro interior y 10 mm de espesor, a base de caucho sintético flexible, de estructura celular cerrada.Incluye: Replanteo del recorrido de la línea. Encintado de los extremos. Colocación del aislamiento. Montaje y fijación de la línea. Abocardado. Vaciado para su carga.Criterio de medición de proyecto: Longitud medida según documentación gráfica de Proyecto.Criterio de medición de obra: Se medirá la longitud realmente ejecutada según especificaciones de Proyecto.</t>
  </si>
  <si>
    <t xml:space="preserve">ICS005</t>
  </si>
  <si>
    <t xml:space="preserve">PUNTO DE LLENADO</t>
  </si>
  <si>
    <t xml:space="preserve">PUNTO DE LLENADOPunto de llenado de red de distribución de agua, para sistema de climatización, formado por 2 m de tubo de polietileno reticulado (PE-Xa), con barrera de oxígeno (EVOH), de 16 mm de diámetro exterior y 2 mm de espesor, PN=6 atm, suministrado en rollos, colocado superficialmente, con aislamiento mediante coquilla flexible de espuma elastomérica, válvulas de corte, filtro retenedor de residuos, contador de agua y válvula de retención. Incluso p/p de material auxiliar para montaje y sujeción a la obra, accesorios y piezas especiales. Totalmente montado, conexionado y probado.Incluye: Replanteo del recorrido de las tuberías, accesorios y piezas especiales. Colocación y fijación de tuberías, accesorios y piezas especiales. Colocación del aislamiento.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</si>
  <si>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ICS015</t>
  </si>
  <si>
    <t xml:space="preserve">PUNTO DE VACIADO</t>
  </si>
  <si>
    <t xml:space="preserve">PUNTO DE VACIADOPunto de vaciado de red de distribución de agua, para sistema de climatización, formado por 2 m de tubo de polietileno reticulado (PE-Xa), con barrera de oxígeno (EVOH), de 25 mm de diámetro exterior y 2,3 mm de espesor, PN=6 atm, suministrado en rollos, colocado superficialmente y válvula de corte. Incluso p/p de material auxiliar para montaje y sujeción a la obra, accesorios y piezas especiales. Totalmente montado, conexionado y probado.Incluye: Replanteo del recorrido de las tuberías, accesorios y piezas especiales. Colocación y fijación de tuberías, accesorios y piezas especiales. Realización de pruebas de servicio.Criterio de medición de proyecto: Número de unidades previstas, según documentación gráfica de Proyecto.Criterio de medición de obra: Se medirá el número de unidades realmente ejecutadas según especificaciones de Proyecto.</t>
  </si>
  <si>
    <t xml:space="preserve">ICS080</t>
  </si>
  <si>
    <t xml:space="preserve">PURGADOR</t>
  </si>
  <si>
    <t xml:space="preserve">PURGADORPurgador automático de aire con boya y rosca de 1/2" de diámetro, cuerpo y tapa de latón, para una presión máxima de trabajo de 6 bar y una temperatura máxima de 110°C. Incluso elementos de montaje y demás accesorios necesarios para su correcto funcionamiento. Totalmente montado, conexionado y probado.Incluye: Replanteo. Colocación del purgador. Conexionado.Criterio de medición de proyecto: Número de unidades previstas, según documentación gráfica de Proyecto.Criterio de medición de obra: Se medirá el número de unidades realmente ejecutadas según especificaciones de Proyecto.</t>
  </si>
  <si>
    <t xml:space="preserve">ICS016gR</t>
  </si>
  <si>
    <t xml:space="preserve">BOMBA CIRCULADORA, HASTA 25kPa y 2m3/h</t>
  </si>
  <si>
    <t xml:space="preserve">Marca/serie: EBARA</t>
  </si>
  <si>
    <t xml:space="preserve">BOMBA CIRCULADORA, HASTA 25kPa y 2m3/hBomba circuladora, de rotor húmedo, de hierro fundido, con motor de imán permanente, con variador de frecuencia incorporado y ventilación automática, con cuatro modos de funcionamiento seleccionables desde el panel de control (modo automático, presión proporcional, presión constante y velocidad constante), modelo Ego Easy 25/80 "EBARA", impulsor de tecnopolímero, eje motor de acero inoxidable, cojinetes de grafito, conexiones roscadas de 1 1/2" de diámetro, presión máxima de trabajo 10 bar, rango de temperatura del líquido conducido de 2 a 110°C, aislamiento clase H, protección IP44, alimentación monofásica a 230 V. Incluso puente de manómetros formado por manómetro, válvulas de esfera y tubería de cobre; elementos de montaje; caja de conexiones eléctricas con condensador y accesorios necesarios para su correcto funcionamiento.Incluye: Replanteo. Colocación de la bomba de circulación. Conexión a la red de distribución.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</si>
  <si>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01.05.01</t>
  </si>
  <si>
    <t xml:space="preserve">PUESTA EN MARCHA CLIMATIZACIÓN</t>
  </si>
  <si>
    <t xml:space="preserve">PUESTA EN MARCHAPuesta en Servicio de todas las instalaciones, los controles de las instalaciones,Control de Calidad y Pruebas  necesarias, según especificaciones de plan de puesta en servicios y protocolos aprobados por D.F./ CONSTRUCTORA/ INSTALADOR,y su posterior legalizacion.</t>
  </si>
  <si>
    <t xml:space="preserve">11.02.18</t>
  </si>
  <si>
    <t xml:space="preserve">LEGALIZACIÓN DE LA INSTALACIÓN TÉRMICA</t>
  </si>
  <si>
    <t xml:space="preserve">LEGALIZACIÓN DE LA INSTALACIÓN TÉRMICALegalización de la instalación ante industra, EICI,Control de Calidad, inspecciones y Pruebas  necesarias, según especificaciones de plan de puesta en servicios y protocolos aprobados por D.F./ CONSTRUCTORA/ INSTALADOR,y su posterior legalizacion.</t>
  </si>
  <si>
    <t xml:space="preserve">E23MGU0105</t>
  </si>
  <si>
    <t xml:space="preserve">GRUPO VMC UNIFAMILIAR AUTORREGULABLE 6 BOCAS (125+4x80 mm)</t>
  </si>
  <si>
    <t xml:space="preserve">Medidas: 4x80mm</t>
  </si>
  <si>
    <t xml:space="preserve">GRUPO VMC UNIFAMILIAR AUTORREGULABLE 6 BOCAS (125+4x80 mm)Grupo autorregulable de ventilación mecánica controlada (VMC) SIBER VMC SF ECO HIGRO+ PLUS EC 1XD.125 4XD.80 REF: SFECOH+ para una vivienda unifamiliar, equipado con 6 bocas de aspiración: 1 boca D=125 mm para cocina, y 4 bocas D=80 mm para baños y aseos. Y 1 boca de descarga de aire viciado D=125 mm. Todas ellas desmontables y con anillos de conexión a conductos. Ventilador centrífugo y motor monofásico (230 V-50 Hz) concebido para funcionamiento continuo. Totalmente instalado, conectado, probado y funcionando, i/p.p. de conexiones, pruebas y pequeño material. Equipo con marcado CE según Reglamento Europeo (UE) 305/2011. Instalado conforme a CTE DB HS-3.</t>
  </si>
  <si>
    <t xml:space="preserve">IVK010</t>
  </si>
  <si>
    <t xml:space="preserve">CAMPANA EXTRACTORA</t>
  </si>
  <si>
    <t xml:space="preserve">Marca/serie: S&amp;P</t>
  </si>
  <si>
    <t xml:space="preserve">CAMPANA EXTRACTORASuministro e instalación de campana extractora con un motor, modelo HP-60 "S&amp;P", acabado blanco, de 120 mm de diámetro de salida, 300 m³/h de caudal máximo, con selector de velocidad de tres posiciones, dos lámparas de 40 W, filtro metálico y compuerta antirretorno, con tramo de conexión de tubo flexible de aluminio a conducto de extracción para salida de humos. Incluso elementos de fijación.Incluye: Replanteo mediante plantilla. Colocación y fijación. Conexionado y comprobación de su correcto funcionamiento.Criterio de medición de proyecto: Número de unidades previstas, según documentación gráfica de Proyecto.Criterio de medición de obra: Se medirá el número de unidades realmente ejecutadas según especificaciones de Proyecto.</t>
  </si>
  <si>
    <t xml:space="preserve">E23DCG030</t>
  </si>
  <si>
    <t xml:space="preserve">TUBO HELIC. CHAPA ACERO GALVANIZADA D=125 mm</t>
  </si>
  <si>
    <t xml:space="preserve">1DT1: 16 × 6.00 × 4.00
16 × 10.50</t>
  </si>
  <si>
    <t xml:space="preserve">TUBO HELIC. CHAPA ACERO GALVANIZADA D=125 mmConducto formado por tubo helicoidal de chapa de acero galvanizada de 0,5 mm de espesor, de diámetro 125 mm, conforme a Norma UNE-EN 1506:2007; fijado a paramento o forjado mediante medios mecánicos. Totalmente instalado; i/p.p. de piezas de unión, piezas especiales, anclajes, fijaciones y medios auxiliares. Conforme a CTE DB HS-3. Medido en su longitud.</t>
  </si>
  <si>
    <t xml:space="preserve">E23DCR0101</t>
  </si>
  <si>
    <t xml:space="preserve">TUBO RECTANGULAR PVC EXTRACCIÓN/VENTILACIÓN 110x55 mm</t>
  </si>
  <si>
    <t xml:space="preserve">16 × 13.00</t>
  </si>
  <si>
    <t xml:space="preserve">Medidas: 110x55mm</t>
  </si>
  <si>
    <t xml:space="preserve">TUBO RECTANGULAR PVC EXTRACCIÓN/VENTILACIÓN 110x55 mmConducto formado por tubo de PVC rígido rectangular para instalaciones de extracción y/o ventilación, de dimensiones de 110x55 mm; suspendido o fijado a paramento o forjado mediante medios mecánicos. Totalmente instalado; i/p.p. de piezas de unión, piezas especiales, cinta o masilla de sellado, anclajes, fijaciones y medios auxiliares. Conforme a CTE DB HS-3. Medido en su longitud.</t>
  </si>
  <si>
    <t xml:space="preserve">E23DCR0102</t>
  </si>
  <si>
    <t xml:space="preserve">TUBO RECTANGULAR PVC EXTRACCIÓN/VENTILACIÓN 220x55 mm</t>
  </si>
  <si>
    <t xml:space="preserve">Medidas: 220x55mm</t>
  </si>
  <si>
    <t xml:space="preserve">TUBO RECTANGULAR PVC EXTRACCIÓN/VENTILACIÓN 220x55 mmConducto formado por tubo de PVC rígido rectangular para instalaciones de extracción y/o ventilación, de dimensiones de 220x55 mm; suspendido o fijado a paramento o forjado mediante medios mecánicos. Totalmente instalado; i/p.p. de piezas de unión, piezas especiales, cinta o masilla de sellado, anclajes, fijaciones y medios auxiliares. Conforme a CTE DB HS-3. Medido en su longitud.</t>
  </si>
  <si>
    <t xml:space="preserve">E23NHR0108</t>
  </si>
  <si>
    <t xml:space="preserve">REJILLA EXTRACCIÓN 15-75 m³/h</t>
  </si>
  <si>
    <t xml:space="preserve">REJILLA EXTRACCIÓN 15-75 m³/hRejilla de extracción Higrorregulable de caudal variable, para instalación en baño/aseo. Para caudales de 15-75 m3/h. En color blanco. Ajuste automático de los caudales de extracción de aire con bajo nivel acústico. Totalmente instalada; i/p.p. de ajustes y medios auxiliares. Conforme a CTE DB HS-3.</t>
  </si>
  <si>
    <t xml:space="preserve">E23Z010</t>
  </si>
  <si>
    <t xml:space="preserve">AIREADOR PUERTA PASO MADERA PREMARCO 80-100 mm</t>
  </si>
  <si>
    <t xml:space="preserve">AIREADOR PUERTA PASO MADERA PREMARCO 80-100 mmAireador acústico para puertas de paso de interior en madera, para montaje en dintel de precerco, para puertas de hoja 625-725-825 mm, y precerco de ancho 80-100 mm. Totalmente instalado; i/p.p. de material de fijación y medios auxiliares. Conforme a CTE DB HS-3.</t>
  </si>
  <si>
    <t xml:space="preserve">0324VV0601</t>
  </si>
  <si>
    <t xml:space="preserve">CERTIFICACIÓN EJECUCIÓN Y PUESTA EN MARCHA</t>
  </si>
  <si>
    <t xml:space="preserve">Marca/serie: AS BUILT</t>
  </si>
  <si>
    <t xml:space="preserve">CERTIFICACIÓN EJECUCIÓN Y PUESTA EN MARCHARealización del certificado de ejecución y puesta en marcha de la instalación de ventilación individual.En todos los precios unitarios de este capítulo se encuentra incluida la realización de proyectos para cumplimiento de la reglamentación vigente y legalizaciones de los mismos ante los organismos oficiales competentes. Se incluyen Proyecto, Visados, Certificado final de obra,  Dictámenes, Boletines, Tasas, etc., necesarios para la aprobación de la instalación ante los organismos estatales, autonómicos o locales, competentes para la autorización de la ejecución y puesta en marcha definitiva de la instalación. Así como la entrega de planos completos de instalaciones "AS BUILT".</t>
  </si>
  <si>
    <t xml:space="preserve">Névola · Piscina · 16 viviendas</t>
  </si>
  <si>
    <t xml:space="preserve">Capítulo C.16 del proyecto de ejecución (BC3 de julio de 2026). Medición de toda la promoción y su desglose tal como viene en el proyecto. Precios del proyecto (CYPE, PEM, sin IVA), solo como referencia.</t>
  </si>
  <si>
    <t xml:space="preserve">D07AG015</t>
  </si>
  <si>
    <t xml:space="preserve">MURO BLOQUE HORMIGÓN ARMADO 40x20x20</t>
  </si>
  <si>
    <t xml:space="preserve">Perímetro piscina adultos: 1 × 40.00 × 1.70
Perímetro piscina chapoteo: 1 × 20.00 × 0.75</t>
  </si>
  <si>
    <t xml:space="preserve">MURO BLOQUE HORMIGÓN ARMADO 40x20x20Muro de bloque huecos FACOSA de hormigón gris de 40x20x20, para posterior terminación, incluso armadura vertical formada por 4 redondos de D=12mm por cada m, y armadura horizontal formada por dos redondos de D=6mm por cada fila de bloques, rellenado con hormigón HA-25/P/20/I y recibido con mortero de cemento y arena de río M7,5 según UNE-EN 998-2, vertido, colocado, vibrado y rejuntado, según CTE/ DB-SE-F.</t>
  </si>
  <si>
    <t xml:space="preserve">01302</t>
  </si>
  <si>
    <t xml:space="preserve">ENCACHADO</t>
  </si>
  <si>
    <t xml:space="preserve">Base piscina
Piscina adultos: 1 × 71.25
Piscina chapoteo: 1 × 24.00</t>
  </si>
  <si>
    <t xml:space="preserve">ENCACHADOEncachado en caja para base de solera de 15 cm de espesor, mediante relleno y extendido en tongadas de espesor no superior a 20 cm de gravas procedentes de cantera caliza de 40/80 mm; y posterior compactación mediante equipo manual con bandeja vibrante, sobre la explanada homogénea y nivelada.</t>
  </si>
  <si>
    <t xml:space="preserve">01303</t>
  </si>
  <si>
    <t xml:space="preserve">HORMIGÓN GUNITADO HORIZONTAL</t>
  </si>
  <si>
    <t xml:space="preserve">HORMIGÓN GUNITADO HORIZONTALSuministro de hormigón HA-30/F/12/IV, proyectado por vía húmeda para formación de paramento horizontal de vaso de piscina, de 20 cm de espesor, con doble malla electrosoldada ME 20x20 Ø 5-5 B 500 T 6x2,20 UNE-EN 10080, y armadura de refuerzo de acero UNE-EN 10080 B 500 S, cuantía 2 kg/m³, sin juntas de dilatación. Incluso p/p de remate de esquinas interiores, verticales y horizontales, en media caña, y separadores.</t>
  </si>
  <si>
    <t xml:space="preserve">01304</t>
  </si>
  <si>
    <t xml:space="preserve">HORMIGÓN GUNITADO VERTICAL</t>
  </si>
  <si>
    <t xml:space="preserve">Vaso piscina/Verticales
Piscina adultos: 1 × 40.00 × 1.30
Piscina chapoteo: 1 × 20.00 × 0.35</t>
  </si>
  <si>
    <t xml:space="preserve">HORMIGÓN GUNITADO VERTICALSuministro de hormigón HA-30/F/12/IV, proyectado por vía húmeda para formación de paramento vertical de vaso de piscina, de 15 cm de espesor, con doble malla electrosoldada ME 20x20 Ø 5-5 B 500 T 6x2,20 UNE-EN 10080, y armadura de refuerzo de acero UNE-EN 10080 B 500 S, cuantía 2 kg/m³, sin juntas de dilatación. Incluso p/p de remate de esquinas interiores, verticales y horizontales, en media caña, y separadores.</t>
  </si>
  <si>
    <t xml:space="preserve">01305</t>
  </si>
  <si>
    <t xml:space="preserve">RELLENO BASE ESCALERA RECRECIDOS</t>
  </si>
  <si>
    <t xml:space="preserve">Piscina adultos: 1 × 0.60
Bóveda escalera: 1 × 0.85</t>
  </si>
  <si>
    <t xml:space="preserve">Medidas: 24x11x8cm · Color: gris</t>
  </si>
  <si>
    <t xml:space="preserve">RELLENO BASE ESCALERA RECRECIDOSFormación de relleno base de escalera, realizado con ladrillos cerámicos huecos para revestir, 24x11x8 cm, recibidos con mortero de cemento industrial, color gris, M-5, suministrado a granel. Incluso p/p de limpieza y preparación de la superficie de apoyo, replanteo, nivelación y aplomado, mermas y roturas y ejecución de encuentros y puntos singulares. Sin incluir revestimientos.</t>
  </si>
  <si>
    <t xml:space="preserve">01306</t>
  </si>
  <si>
    <t xml:space="preserve">PELDAÑEADO DE ESCALERA</t>
  </si>
  <si>
    <t xml:space="preserve">Escalera: 6 × 1.50</t>
  </si>
  <si>
    <t xml:space="preserve">PELDAÑEADO DE ESCALERAFormación de peldañeado de escalera con ladrillo cerámico hueco recibido con mortero de cemento, industrial, M-5, sobre la losa o bóveda de escalera, como base para la posterior colocación del acabado de peldaños.</t>
  </si>
  <si>
    <t xml:space="preserve">UPN010</t>
  </si>
  <si>
    <t xml:space="preserve">IMPERMEABILIZACIÓN PISCINA</t>
  </si>
  <si>
    <t xml:space="preserve">Piscina Adultos
Horizontal: 1 × 71.25
Vertical: 1 × 40.00 × 1.30
Piscina chapoteo
Horizontal: 1 × 24.00
Vertical: 1 × 20.00 × 0.35</t>
  </si>
  <si>
    <t xml:space="preserve">Color: azul</t>
  </si>
  <si>
    <t xml:space="preserve">IMPERMEABILIZACIÓN PISCINAAplicación manual de dos manos de pintura al clorocaucho, color azul, acabado satinado, textura lisa, la primera mano diluida con un 20 a 30% de diluyente formulado a base de hidrocarburos aromáticos y la siguiente diluida con un 5% del mismo producto, (rendimiento: 0,13 l/m² cada mano); sobre paramento horizontal y vertical de mortero u hormigón en piscinas.Incluye: Preparación y limpieza previa del soporte. Preparación de la mezcla. Aplicación de una mano de fondo y una mano de acabado.Criterio de medición de proyecto: Superficie medida según documentación gráfica de Proyecto.Criterio de medición de obra: Se medirá la superficie realmente ejecutada según especificaciones de Proyecto.Criterio de valoración económica: El precio incluye la protección de los elementos del entorno que puedan verse afectados durante los trabajos.</t>
  </si>
  <si>
    <t xml:space="preserve">D37RA501</t>
  </si>
  <si>
    <t xml:space="preserve">MÉNSULA HORMIGÓN BORDE PISCINA</t>
  </si>
  <si>
    <t xml:space="preserve">Perímetro piscina adultos: 1 × 40.00</t>
  </si>
  <si>
    <t xml:space="preserve">MÉNSULA HORMIGÓN BORDE PISCINAFormación de ménsula en borde de piscina de 1 m de anchura realizada con cemento Portland CEM II/P-A/45 R, hormigón HA-25/p/20 N/mm² espesor 25 cm estando todavía tierno el hormigón de muros para evitar juntas, i/ armadura (25 kg/m), encofrado y formación de canal rebosadero perfectamente nivelado con la inclinación debida.</t>
  </si>
  <si>
    <t xml:space="preserve">D37RB230</t>
  </si>
  <si>
    <t xml:space="preserve">CABLEADO COBRE 1x35 mm²</t>
  </si>
  <si>
    <t xml:space="preserve">Medidas: 1x35mm</t>
  </si>
  <si>
    <t xml:space="preserve">CABLEADO COBRE 1x35 mm²Cable de cobre desnudo de 1x35 mm², colocado.</t>
  </si>
  <si>
    <t xml:space="preserve">UPD010</t>
  </si>
  <si>
    <t xml:space="preserve">EQUIPO COMPLETO DEPURACIÓN PISCINA 12x6x1,5 m (volumen 108 m³).</t>
  </si>
  <si>
    <t xml:space="preserve">Piscina adultos: 1</t>
  </si>
  <si>
    <t xml:space="preserve">Medidas: 12x6x1,5m</t>
  </si>
  <si>
    <t xml:space="preserve">EQUIPO COMPLETO DEPURACIÓN PISCINA 12x6x1,5 m (volumen 108 m³).Suministro e instalación de equipo completo de depuración para piscina de 12x6x1,5 m (volumen 108 m³), constituido por: EQUIPO DE FILTRACIÓN construido en poliéster reforzado con fibra de vidrio, colector de plástico, válvulas de mariposa para filtrado y lavado, prefiltros de cabello, cestos coladores, bombas centrífugas, motores eléctricos, manómetros; CIRCUITO CERRADO DE TUBERÍAS DE PVC alrededor de la piscina y enlace del filtro con el grupo motobomba y ACCESORIOS constituidos por: 2 sumideros de fondo antitorbellino de poliéster, 3 boquillas de impulsión de ABS y 4 skimmers de ABS. Totalmente instalado y en funcionamiento.</t>
  </si>
  <si>
    <t xml:space="preserve">UPD010b</t>
  </si>
  <si>
    <t xml:space="preserve">EQUIPO COMPLETO DEPURACIÓN PISCINA 8x4x1,5 m (volumen 48 m³).</t>
  </si>
  <si>
    <t xml:space="preserve">Piscina chapoteo: 1</t>
  </si>
  <si>
    <t xml:space="preserve">Medidas: 8x4x1,5m</t>
  </si>
  <si>
    <t xml:space="preserve">EQUIPO COMPLETO DEPURACIÓN PISCINA 8x4x1,5 m (volumen 48 m³).Suministro e instalación de equipo completo de depuración para piscina de 8x4x1,5 m (volumen 48 m³), constituido por: EQUIPO DE FILTRACIÓN construido en poliéster reforzado con fibra de vidrio, colector de plástico, válvulas de mariposa para filtrado y lavado, prefiltros de cabello, cestos coladores, bombas centrífugas, motores eléctricos, manómetros; CIRCUITO CERRADO DE TUBERÍAS DE PVC alrededor de la piscina y enlace del filtro con el grupo motobomba y ACCESORIOS constituidos por: 1 sumidero de fondo antitorbellino de poliéster, 3 boquillas de impulsión de ABS y 2 skimmers de ABS. Totalmente instalado y en funcionamiento</t>
  </si>
  <si>
    <t xml:space="preserve">UPC010</t>
  </si>
  <si>
    <t xml:space="preserve">EQUIPO AUTOMÁTICO DE CLORACIÓN SALINA</t>
  </si>
  <si>
    <t xml:space="preserve">Piscina adultos: 1
Piscina chapoteo: 1</t>
  </si>
  <si>
    <t xml:space="preserve">EQUIPO AUTOMÁTICO DE CLORACIÓN SALINAEquipo automático de electrolisis salina para generación de cloro con control automático de PH, producción de cloro 7 g/h, con pantalla táctil, detector de gas, flujostato, portasonda compacto, electrodos, y bomba dosificadora, para piscina.</t>
  </si>
  <si>
    <t xml:space="preserve">D37RZ005</t>
  </si>
  <si>
    <t xml:space="preserve">ESCALERA 4 PELDAÑOS ACERO INOXIDABLE</t>
  </si>
  <si>
    <t xml:space="preserve">Piscina adultos: 3</t>
  </si>
  <si>
    <t xml:space="preserve">ESCALERA 4 PELDAÑOS ACERO INOXIDABLEEscalera de 4 peldaños construida en tubo Ø43 en acero inoxidable AISI 304 pulido brillante, con peldaño antideslizante en acero AISI 416 y anclaje de fijación. Totalmente instaladas, incluso pequeño material, montaje y conexionado.</t>
  </si>
  <si>
    <t xml:space="preserve">D37RZ905</t>
  </si>
  <si>
    <t xml:space="preserve">BOTIQUÍN</t>
  </si>
  <si>
    <t xml:space="preserve">BOTIQUÍNBotiquín de urgencia para obra fábricado en chapa de acero, pintado al horno con tratamiento anticorrosivo y serigrafía de cruz. Color blanco, con contenidos mínimos obligatorios, colocado.</t>
  </si>
  <si>
    <t xml:space="preserve">D37RZ802</t>
  </si>
  <si>
    <t xml:space="preserve">ARO SALVAVIDAS</t>
  </si>
  <si>
    <t xml:space="preserve">Piscina adultos: 4</t>
  </si>
  <si>
    <t xml:space="preserve">ARO SALVAVIDASAro salvavidas, con soporte en acero inoxidable pulido brillante y gancho de salvamento en aluminio de color azul. Incluido instalación.</t>
  </si>
  <si>
    <t xml:space="preserve">D37RZ301</t>
  </si>
  <si>
    <t xml:space="preserve">FOCO ESTANCO PARA PISCINA</t>
  </si>
  <si>
    <t xml:space="preserve">FOCO ESTANCO PARA PISCINAFoco estanco para piscina de acero inoxidable con transformador incluído, empotrado en muro y unido a caja de conexión con tubo roscado con final por encima del nivel del agua, totalmente instalado cumpliendo el Reglamento de Baja Tensión.</t>
  </si>
  <si>
    <t xml:space="preserve">D37RZ201</t>
  </si>
  <si>
    <t xml:space="preserve">PEDILUVIO 1,50x2,00 I/2 DUCHA PISCINA ADULTOS</t>
  </si>
  <si>
    <t xml:space="preserve">Piscina adultos: 2</t>
  </si>
  <si>
    <t xml:space="preserve">Medidas: 1.50x2.00m</t>
  </si>
  <si>
    <t xml:space="preserve">PEDILUVIO 1,50x2,00 I/2 DUCHA PISCINA ADULTOSPediluvio de piedra artificial de dimensiones 1.50x2.00 m en entrada a zona de vaso de piscina, i/ 2 duchas de acero inoxidable AISI 304, con rociador, válvula de apertura y grifo lavapiés,red, arqueta para valvulería, toma de desagüe con válvula, totalmente montado.</t>
  </si>
  <si>
    <t xml:space="preserve">UPE040</t>
  </si>
  <si>
    <t xml:space="preserve">DUCHA PISCINA CHAPOTEO</t>
  </si>
  <si>
    <t xml:space="preserve">Medidas: 100x100x80cm</t>
  </si>
  <si>
    <t xml:space="preserve">DUCHA PISCINA CHAPOTEODucha con grifo monomando para piscina, de 43 mm de diámetro, de acero inoxidable AISI 304, con rociador, válvula de apertura y grifo lavapiés, fijada a una base de hormigón HM-20/B/20/I de 100x100x80 cm, con anclajes dotados de mecanismo para conexión equipotencial.</t>
  </si>
  <si>
    <t xml:space="preserve">Névola · Urbanización · 16 viviendas</t>
  </si>
  <si>
    <t xml:space="preserve">Capítulo C.17 del proyecto de ejecución (BC3 de julio de 2026). Medición de toda la promoción y su desglose tal como viene en el proyecto. Precios del proyecto (CYPE, PEM, sin IVA), solo como referencia.</t>
  </si>
  <si>
    <t xml:space="preserve">UXH010</t>
  </si>
  <si>
    <t xml:space="preserve">SOLADO LOSETA HORMIGÓN ACERA</t>
  </si>
  <si>
    <t xml:space="preserve">ACERA: 1 × 289.00 × 1.40</t>
  </si>
  <si>
    <t xml:space="preserve">Medidas: 20x20x3cm · Color: gris</t>
  </si>
  <si>
    <t xml:space="preserve">SOLADO LOSETA HORMIGÓN ACERASuministro y colocación de pavimento para uso privado en zona de aceras y paseos, de loseta de hormigón para uso exterior, de 4 pastillas, clase resistente a flexión T, clase resistente según la carga de rotura 3, clase de desgaste por abrasión G, formato nominal 20x20x3 cm, color gris, según UNE-EN 1339, colocadas al tendido sobre capa de arena-cemento de 3 cm de espesor, sin aditivos, con 250 kg/m³ de cemento Portland con caliza CEM II/B-L 32,5 R y arena de cantera granítica, dejando entre ellas una junta de separación de entre 1,5 y 3 mm. Todo ello realizado sobre firme compuesto por solera de hormigón no estructural (HNE-20/P/20), de 25 cm de espesor, vertido desde camión con extendido y vibrado manual con regla vibrante de 3 m, con acabado maestreado ejecutada según pendientes del proyecto y colocado sobre explanada con índice CBR &gt; 5 (California Bearing Ratio), no incluida en este precio. Incluso p/p de juntas estructurales y de dilatación, cortes a realizar para ajustarlas a los bordes del confinamiento o a las intrusiones existentes en el pavimento y relleno de juntas con lechada de cemento 1/2 CEM II/B-P 32,5 R, coloreada con la misma tonalidad de las piezas.</t>
  </si>
  <si>
    <t xml:space="preserve">UXB020</t>
  </si>
  <si>
    <t xml:space="preserve">BORDILLO HORMIGÓN 20x14 cm ACERA</t>
  </si>
  <si>
    <t xml:space="preserve">ACERA: 1 × 289.00</t>
  </si>
  <si>
    <t xml:space="preserve">Medidas: 20x14cm</t>
  </si>
  <si>
    <t xml:space="preserve">BORDILLO HORMIGÓN 20x14 cm ACERAPiezas de bordillo recto de hormigón, monocapa, con sección normalizada peatonal A1 (20x14) cm, clase climática B (absorción &lt;=6%), clase resistente a la abrasión H (huella &lt;=23 mm) y clase resistente a flexión S (R-3,5 N/mm²), de 50 cm de longitud, según UNE-EN 1340 y UNE 127340, colocadas sobre base de hormigón no estructural (HNE-20/P/20) de espesor uniforme de 20 cm y 10 cm de anchura a cada lado del bordillo, vertido desde camión, extendido y vibrado con acabado maestreado, según pendientes del proyecto y colocado sobre explanada con índice CBR &gt; 5 (California Bearing Ratio), no incluida en este precio; posterior rejuntado de anchura máxima 5 mm con mortero de cemento, industrial, M-5. Incluso topes o contrafuertes de 1/3 y 2/3 de la altura del bordillo, del lado de la calzada y al dorso respectivamente, con un mínimo de 10 cm, salvo en el caso de pavimentos flexibles.</t>
  </si>
  <si>
    <t xml:space="preserve">FEA020c</t>
  </si>
  <si>
    <t xml:space="preserve">MURO BLOQUE HORMIGÓN 40X20X20 PARA REVESTIR</t>
  </si>
  <si>
    <t xml:space="preserve">Vallados a calle
VIV 1: 1 × 4.60 × 2.00
1 × 6.15 × 1.00
VIV 2: 1 × 3.60 × 2.00
1 × 8.45 × 1.00
VIV 3: 1 × 3.60 × 2.00
1 × 9.50 × 1.00
VIV 4: 1 × 3.90 × 2.00
1 × 8.05 × 1.00
VIV 5: 1 × 3.00 × 2.00
1 × 8.20 × 1.00
VIV 6: 1 × 3.00 × 2.00
1 × 8.10 × 1.00
VIV 7: 1 × 4.60 × 2.00
1 × 9.75 × 1.00
VIV 8: 1 × 3.90 × 2.00
1 × 27.25 × 1.00
VIV 9: 1 × 3.60 × 2.00
1 × 5.60 × 1.00
VIV 10: 1 × 3.20 × 2.00
1 × 6.90 × 1.00
VIV 11: 1 × 3.20 × 2.00
1 × 6.40 × 1.00
VIV 12: 1 × 3.90 × 2.00
1 × 23.40 × 1.00
VIV 13: 1 × 3.65 × 2.00
1 × 6.50 × 1.00
VIV 14: 1 × 3.60 × 2.00
1 × 6.60 × 1.00
VIV 15: 1 × 3.60 × 2.00
1 × 6.60 × 1.00
VIV 16: 1 × 3.65 × 2.00
1 × 6.00 × 1.00
Muros separación pareados
VIV 1-VIV 2: 1 × 8.35 × 2.00
VIV 3-VIV 4: 1 × 8.80 × 2.00
VIV 6-VIV 7: 1 × 8.35 × 2.00
VIV 8-VIV 9: 1 × 8.35 × 2.00
VIV 11-VIV 12: 1 × 8.70 × 2.00
VIV 13-VIV 14: 1 × 8.35 × 2.00
VIV 15-VIV 16: 1 × 8.35 × 2.00</t>
  </si>
  <si>
    <t xml:space="preserve">Medidas: 40x20x20cm · Color: gris</t>
  </si>
  <si>
    <t xml:space="preserve">MURO BLOQUE HORMIGÓN 40X20X20 PARA REVESTIRMuro de carga de 20 cm de espesor de fábrica armada de bloque de hormigón, liso estándar, color gris, 40x20x20 cm, resistencia normalizada R10 (10 N/mm²), para revestir, con juntas horizontales y verticales de 10 mm de espesor, junta rehundida, recibida con mortero de cemento industrial, color gris, M-7,5, suministrado a granel, con piezas especiales tales como medios bloques, bloques de esquina y bloques en "U" en formación de zunchos horizontales y dinteles, reforzado con hormigón de relleno, HA-25/B/12/XC2, preparado en obra, vertido con medios manuales, volumen 0,015 m³/m², en dinteles, zunchos horizontales y zunchos verticales; y acero UNE-EN 10080 B 500 S, cuantía 0,6 kg/m²; armadura de tendel prefabricada de acero galvanizado en caliente con recubrimiento de resina epoxi, de 3,7 mm de diámetro y de 75 mm de anchura, rendimiento 2,45 m/m².Incluye: Limpieza y preparación de la superficie soporte. Replanteo, planta a planta. Colocación y aplomado de miras de referencia. Tendido de hilos entre miras. Colocación de plomos fijos en las aristas. Colocación de las piezas por hiladas a nivel. Colocación de las armaduras de tendel prefabricadas entre hiladas. Colocación de armaduras en los huecos de las piezas, zunchos horizontales y dinteles. Preparación del hormigón. Vertido, vibrado y curado del hormigón. Realización de todos los trabajos necesarios para la resolución de huecos. Limpieza.Criterio de medición de proyecto: Superficie medida según documentación gráfica de Proyecto, sin duplicar esquinas ni encuentros, deduciendo los huecos de superficie mayor de 2 m².Criterio de medición de obra: Se medirá la superficie realmente ejecutada según especificaciones de Proyecto, sin duplicar esquinas ni encuentros, deduciendo los huecos de superficie mayor de 2 m².</t>
  </si>
  <si>
    <t xml:space="preserve">FEA020</t>
  </si>
  <si>
    <t xml:space="preserve">MURO BLOQUE HORMIGÓN 40x20x20 2CV</t>
  </si>
  <si>
    <t xml:space="preserve">Separación entre viviendas
VIV 1-VIV 2: 1 × 1.90 × 0.60
VIV 2-VIV 3: 1 × 19.75 × 0.60
VIV 3-VIV 4: 1 × 1.50 × 0.60
VIV 4-VIV 5: 1 × 19.75 × 0.60
VIV 5-VIV 6: 1 × 19.75 × 0.60
VIV 6-VIV 7: 1 × 1.90 × 0.60
VIV 8-VIV 9: 1 × 3.90 × 0.60
VIV 9-VIV 10: 1 × 21.75 × 0.60
VIV 10-VIV 11: 1 × 21.75 × 0.60
VIV 11-VIV 12: 1 × 3.60 × 0.60
VIV 13-VIV 14: 1 × 3.00 × 0.60
VIV 14-VIV 15: 1 × 20.85 × 0.60
VIV 15-VIV 16: 1 × 3.00 × 0.60
VIV 16-PARCELA 17: 1 × 21.10 × 0.60
Separación viviendas-Zona común
Contención diferencia de niveles
VIV 1-VIV 2: 1 × 30.90 × 0.60
VIV 3-VIV 4: 1 × 28.60 × 0.40
VIV 5: 1 × 15.75 × 0.40
VIV 6-VIV 7: 1 × 28.70 × 0.80
1 × 20.60 × 1.20
VIV 8-VIV 9: 1 × 25.65 × 0.80
VIV 10: 1 × 14.15 × 0.80
VIV 11-VIV 12: 1 × 28.75 × 0.60
VIV 13-VIV 14: 1 × 29.90 × 0.40
1 × 21.00 × 0.60
VIV 15-VIV 16: 1 × 31.50 × 0.60
CASETA  APEROS: 1 × 13.45 × 3.20
PERÍMETRO PISCINA: 1 × 71.40 × 0.80</t>
  </si>
  <si>
    <t xml:space="preserve">Medidas: 40x20x20cm · Color: blanco</t>
  </si>
  <si>
    <t xml:space="preserve">MURO BLOQUE HORMIGÓN 40x20x20 2CVMuro de carga de 20 cm de espesor de fábrica armada de bloque 2CV de hormigón, split dos caras opuestas color blanco, 40x20x20 cm, resistencia normalizada R10 (10 N/mm²), recibida con mortero de cemento confeccionado en obra, con 300 kg/m³ de cemento, color blanco, dosificación 1:5, suministrado en sacos, con piezas especiales tales como tapetas de coronación, medios bloques, bloques de esquina y bloques en "U" en formación de zunchos horizontales y dinteles, reforzado con hormigón de relleno, HA-25/B/12/IIa, preparado en obra, vertido con medios manuales, volumen 0,015 m³/m², en dinteles, zunchos horizontales y zunchos verticales; y acero UNE-EN 10080 B 500 S, cuantía 0,6 kg/m²; armadura de tendel prefabricada de acero galvanizado en caliente con recubrimiento de resina epoxi, de 3,7 mm de diámetro y de 75 mm de anchura, rendimiento 2,45 m/m².</t>
  </si>
  <si>
    <t xml:space="preserve">HRF040</t>
  </si>
  <si>
    <t xml:space="preserve">ALBARDILLA PREFABRICADA HORMIGÓN</t>
  </si>
  <si>
    <t xml:space="preserve">Vallados a calle
VIV 1: 1 × 10.75
VIV 2: 1 × 12.05
VIV 3: 1 × 13.10
VIV 4: 1 × 11.70
VIV 5: 1 × 11.20
VIV 6: 1 × 15.10
VIV 7: 1 × 14.40
VIV 8: 1 × 31.05
VIV 9: 1 × 9.60
VIV 10: 1 × 9.60
VIV 11: 1 × 9.60
VIV 12: 1 × 29.20
VIV 13: 1 × 9.85
VIV 14: 1 × 10.20
VIV 15: 1 × 10.20
VIV 16: 1 × 9.60
Muros separación pareados
VIV 1-VIV 2: 1 × 8.35
VIV 3-VIV 4: 1 × 8.80
VIV 6-VIV 7: 1 × 8.35
VIV 8-VIV 9: 1 × 8.35
VIV 11-VIV 12: 1 × 8.70
VIV 13-VIV 14: 1 × 8.35
VIV 15-VIV 16: 1 × 8.35</t>
  </si>
  <si>
    <t xml:space="preserve">Medidas: 500x200x50mm · Color: blanco</t>
  </si>
  <si>
    <t xml:space="preserve">ALBARDILLA PREFABRICADA HORMIGÓNAlbardilla prefabricada de hormigón de color blanco o beige, para cubrición de muros, en piezas de 500x200x50 mm, con goterón, recibida con mortero de cemento, industrial, con aditivo hidrófugo, M-10 y rejuntado entre piezas y, en su caso, de las uniones con los muros con mortero de juntas especial para prefabricados de hormigón.</t>
  </si>
  <si>
    <t xml:space="preserve">D02TA301-1</t>
  </si>
  <si>
    <t xml:space="preserve">RELLENO TIERRAS C/APORTE PARA JARDIN+SEMBRADO CESPED</t>
  </si>
  <si>
    <t xml:space="preserve">Zona común
Piscina adultos: 1 × 229.60
Piscina chapoteo: 1 × 76.15
Jardín 1: 1 × 265.00
Jardín 2: 1 × 154.20</t>
  </si>
  <si>
    <t xml:space="preserve">RELLENO TIERRAS C/APORTE PARA JARDIN+SEMBRADO CESPEDRelleno y extendido de tierras, por medios mecánicos, i/aporte m². Césped semillado con mezcla de Lolium, Agrostis, Festuca y Poa, incluso preparación del terreno, mantillo, siembra y riegos hasta la primera siega, en superficies menores de 1.000 m².de las mismas y p.p. de costes indirectos.</t>
  </si>
  <si>
    <t xml:space="preserve">UMB010</t>
  </si>
  <si>
    <t xml:space="preserve">BANCO CON RESPALDO</t>
  </si>
  <si>
    <t xml:space="preserve">BANCO CON RESPALDOBanco con respaldo, de chapa perforada de acero galvanizado, de 180 cm de longitud, con soportes de sección rectangular, fijado a una superficie soporte.</t>
  </si>
  <si>
    <t xml:space="preserve">UME010</t>
  </si>
  <si>
    <t xml:space="preserve">PAPELERA</t>
  </si>
  <si>
    <t xml:space="preserve">Piscina adultos: 1
Piscina chapoteo: 1
Zona de juegos infantil: 1</t>
  </si>
  <si>
    <t xml:space="preserve">Color: dimensiones</t>
  </si>
  <si>
    <t xml:space="preserve">PAPELERAPapelera de acero electrozincado, con soporte vertical, de tipo basculante con llave, boca circular, de 60 litros de capacidad, de chapa perforada de 1 mm de espesor pintada con pintura de poliéster color dimensiones totales 785x380x360, con tacos de expansión de acero, tornillos especiales y pasta química a una base de hormigón HM-20/P/20/I. Incluso excavación y hormigonado de la base de apoyo.</t>
  </si>
  <si>
    <t xml:space="preserve">UII010</t>
  </si>
  <si>
    <t xml:space="preserve">BALIZA CIRCULAR</t>
  </si>
  <si>
    <t xml:space="preserve">Zona común: 28</t>
  </si>
  <si>
    <t xml:space="preserve">BALIZA CIRCULARBaliza circular con distribución de luz radialmente simétrica, de 71 mm de diámetro y 1000 mm de altura, para 1 lámpara fluorescente compacta TC-S de 11 W, con cuerpo de aluminio inyectado, aluminio y acero inoxidable, vidrio opal, portalámparas G 23, balasto, clase de protección I, grado de protección IP44, aislamiento clase F, con placa de anclaje y pernos. Incluso lámparas.</t>
  </si>
  <si>
    <t xml:space="preserve">UII020</t>
  </si>
  <si>
    <t xml:space="preserve">FAROLA</t>
  </si>
  <si>
    <t xml:space="preserve">Zona común: 5</t>
  </si>
  <si>
    <t xml:space="preserve">Medidas: 2x2,5mm, 40x40x60cm</t>
  </si>
  <si>
    <t xml:space="preserve">FAROLASuministro y montaje de farola para alumbrado viario compuesta de columna troncocónica de acero galvanizado de 3 mm de espesor, de 3000 mm de altura, acabado pintado, con caja de conexión y protección, con fusibles, conductor aislado de cobre para 0,6/1 kV de 2x2,5 mm², toma de tierra con pica, arqueta de paso y derivación de 40x40x60 cm, con cerco y tapa de hierro fundido; y luminaria decorativa con difusor de plástico y lámpara de vapor de mercurio, VM 80 W, de forma troncopiramidal, acoplada al soporte. El precio incluye la excavación de la cimentación y la formación de la misma.</t>
  </si>
  <si>
    <t xml:space="preserve">E18IRL13GLF68</t>
  </si>
  <si>
    <t xml:space="preserve">LUMINARIA TECHO 2300</t>
  </si>
  <si>
    <t xml:space="preserve">Caseta de aperos: 2</t>
  </si>
  <si>
    <t xml:space="preserve">Color: 2700K</t>
  </si>
  <si>
    <t xml:space="preserve">LUMINARIA TECHO 2300Luminaria techo, 2200 lum, 25W, correpondiente a L04 segun proyecto, a elegir por la propiedad. Temperatura de color 2700K. Con marcado CE según Reglamento (UE) 305/201. Instalada, incluyendo replanteo, accesorios de anclaje y conexionado.</t>
  </si>
  <si>
    <t xml:space="preserve">E18GS010</t>
  </si>
  <si>
    <t xml:space="preserve">BLOQUE AUTÓNOMO EMERGENCIA LED 70 lm</t>
  </si>
  <si>
    <t xml:space="preserve">Caseta de aperos: 1</t>
  </si>
  <si>
    <t xml:space="preserve">BLOQUE AUTÓNOMO EMERGENCIA LED 70 lmBloque autónomo de emergencia, de superficie con zócalo enchufable, carcasa de material autoextinguible y difusor opal, grado de protección IP42 - IK 07 / Clase II, según UNE-EN 60598-2-22, UNE-EN 50102 y UNE 20392:1993; equipado con LEDs de 70 lm, piloto testigo de carga LED verde, con 1 hora de autonomía, batería Ni-MH de bajo impacto medioambiental, fuente conmutada de bajo consumo. Con marcado CE según Reglamento (UE) 305/201. Instalado incluyendo replanteo, accesorios de anclaje y conexionado.</t>
  </si>
  <si>
    <t xml:space="preserve">D39SA701</t>
  </si>
  <si>
    <t xml:space="preserve">PARQUE JUEGOS INFANTIL</t>
  </si>
  <si>
    <t xml:space="preserve">ud</t>
  </si>
  <si>
    <t xml:space="preserve">PARQUE JUEGOS INFANTILSuministro y colocación de columpio de madera de 3 plazas, incluído cimentación.</t>
  </si>
  <si>
    <t xml:space="preserve">UJP010</t>
  </si>
  <si>
    <t xml:space="preserve">MORERA (MORUS ALBA)</t>
  </si>
  <si>
    <t xml:space="preserve">Zona común: 2</t>
  </si>
  <si>
    <t xml:space="preserve">MORERA (MORUS ALBA)Suministro, apertura de hoyo, plantación y primer riego de Morera (Morus alba), suministrado con cepellón en container.</t>
  </si>
  <si>
    <t xml:space="preserve">UJP010b</t>
  </si>
  <si>
    <t xml:space="preserve">PLÁTANO DE SOMBRA (PLATANUS X HISPANICA)</t>
  </si>
  <si>
    <t xml:space="preserve">PLÁTANO DE SOMBRA (PLATANUS X HISPANICA)Suministro, apertura de hoyo, plantación y primer riego de Plátano de sombra(Platanus x hispanica), suministrado con cepellón en container.</t>
  </si>
  <si>
    <t xml:space="preserve">UJP010bb</t>
  </si>
  <si>
    <t xml:space="preserve">ÁRBOL DEL AMOR (CERCIS SILIQUASTRUM)</t>
  </si>
  <si>
    <t xml:space="preserve">ÁRBOL DEL AMOR (CERCIS SILIQUASTRUM)Suministro, apertura de hoyo, plantación y primer riego de Árbol del amor (Cercis siliquastrum), suministrado con cepellón en container.</t>
  </si>
  <si>
    <t xml:space="preserve">UJP010bbb</t>
  </si>
  <si>
    <t xml:space="preserve">LAVANDA (LAVÁNDULA ANGUSTIFOLIA)</t>
  </si>
  <si>
    <t xml:space="preserve">Zona común: 13</t>
  </si>
  <si>
    <t xml:space="preserve">LAVANDA (LAVÁNDULA ANGUSTIFOLIA)Suministro, apertura de hoyo, plantación y primer riego de Lavanda (Lavándula angustifolia, suministrado con cepellón en container.</t>
  </si>
  <si>
    <t xml:space="preserve">UVP010b</t>
  </si>
  <si>
    <t xml:space="preserve">PUERTA PEATONAL METÁLICA EN VALLADOS/VIVIENDAS</t>
  </si>
  <si>
    <t xml:space="preserve">Puerta peatonal acceso vivienda en vallado principal: 16</t>
  </si>
  <si>
    <t xml:space="preserve">Medidas: 120x200cm, 35x35mm · Color: RAL 7016</t>
  </si>
  <si>
    <t xml:space="preserve">PUERTA PEATONAL METÁLICA EN VALLADOS/VIVIENDASPuerta cancela para acceso peatonal, de acero laminado, lacado color RAL 7016, de dos hojas abatibles, dimensiones 120x200 cm, formada por chapa metálica con perforaciones de 35x35 mm, separadas 35 mm entre sí, cierre mediante estribo, bastidor simple y sistema de anclaje lateral con taladro directo en el marco para atornillar a pilastras de obra. Apertura automática. Incluso p/p de bisagras o anclajes metálicos laterales de los bastidores sentados con hormigón HM-25/B/20/I, armadura portante de la cancela y recibidos a obra, elementos de anclaje, herrajes de seguridad y cierre.Protección del conjunto mediante galvanizado en caliente de gran resistencia antioxidante; tratamiento de desengrase y fosfatado; lacado al horno con poliéster ferrotexturado color RAL 7016. Máxima adherencia del revestimiento exterior. Totalmente montado en obra. Incluso p/p de todos los elementos necesarios para su colocación (tornillería, accesorios, etc.)</t>
  </si>
  <si>
    <t xml:space="preserve">UVP010bb</t>
  </si>
  <si>
    <t xml:space="preserve">PUERTA PEATONAL METÁLICA EN VALLADOS/ZONA COMÚN</t>
  </si>
  <si>
    <t xml:space="preserve">Puerta peatonal accesos zona común vallado principal: 2</t>
  </si>
  <si>
    <t xml:space="preserve">Medidas: 225x200cm, 35x35mm · Color: RAL 7016</t>
  </si>
  <si>
    <t xml:space="preserve">PUERTA PEATONAL METÁLICA EN VALLADOS/ZONA COMÚNPuerta cancela para acceso peatonal, de acero laminado, lacado color RAL 7016, de dos hojas abatibles, dimensiones 225x200 cm, formada por chapa metálica con perforaciones de 35x35 mm, separadas 35 mm entre sí, cierre mediante estribo, bastidor simple y sistema de anclaje lateral con taladro directo en el marco para atornillar a pilastras de obra. Apertura manual. Incluso p/p de bisagras o anclajes metálicos laterales de los bastidores sentados con hormigón HM-25/B/20/I, armadura portante de la cancela y recibidos a obra, elementos de anclaje, herrajes de seguridad y cierre.Protección del conjunto mediante galvanizado en caliente de gran resistencia antioxidante; tratamiento de desengrase y fosfatado; lacado al horno con poliéster ferrotexturado color RAL 7016. Máxima adherencia del revestimiento exterior. Totalmente montado en obra. Incluso p/p de todos los elementos necesarios para su colocación (tornillería, accesorios, etc.)</t>
  </si>
  <si>
    <t xml:space="preserve">UVP010</t>
  </si>
  <si>
    <t xml:space="preserve">PUERTA VEHÍCULOS METÁLICA EN VALLADOS/VIVIENDAS</t>
  </si>
  <si>
    <t xml:space="preserve">Puerta vehículos viviendas vallado principal: 16</t>
  </si>
  <si>
    <t xml:space="preserve">Medidas: 330x200cm, 35x35mm · Color: RAL 7016</t>
  </si>
  <si>
    <t xml:space="preserve">PUERTA VEHÍCULOS METÁLICA EN VALLADOSPuerta cancela para acceso de vehículos, de acero laminado, lacado color RAL 7016, de una hoja corredera, dimensiones 330x200 cm, formada por chapa metálica con perforaciones de 35x35 mm, separadas 35 mm entre sí, cierre mediante estribo, bastidor simple y sistema de anclaje lateral con taladro directo en el marco para atornillar a pilastras de obra. Apertura manual. Incluso p/p de anclajes metálicos laterales de los bastidores sentados con hormigón HM-25/B/20/I, ruedas para deslizamiento, con rodamiento de engrase permanente, elementos de anclaje, herrajes de seguridad y cierre.Protección del conjunto mediante galvanizado en caliente de gran resistencia antioxidante; tratamiento de desengrase y fosfatado; lacado al horno con poliéster ferrotexturado color RAL 7016. Máxima adherencia del revestimiento exterior. Totalmente montado en obra. Incluso p/p de todos los elementos necesarios para su colocación (tornillería, accesorios, etc.)</t>
  </si>
  <si>
    <t xml:space="preserve">UVV020</t>
  </si>
  <si>
    <t xml:space="preserve">VERJA METÁLICA EN VALLADOS</t>
  </si>
  <si>
    <t xml:space="preserve">VIV 1-VIV 2: 1 × 14.60 × 1.15
VIV 3-VIV 4: 1 × 17.55 × 1.15
VIV 5: 1 × 8.20 × 1.15
VIV 6-VIV 7: 1 × 17.80 × 1.15
VIV 8-VIV 9: 1 × 32.85 × 1.15
VIV 10: 1 × 6.75 × 1.15
VIV 11-VIV 12: 1 × 31.80 × 1.15
VIV 13-VIV 14: 1 × 13.10 × 1.15
VIV 15-VIV 16: 1 × 12.55 × 1.15</t>
  </si>
  <si>
    <t xml:space="preserve">Medidas: 35x35mm · Color: RAL 7016</t>
  </si>
  <si>
    <t xml:space="preserve">VERJA DE ACERO EN VALLADOSVerja modular de acero laminado, lacado color RAL 7016, formada por chapa metálica con perforaciones de 35x35 mm, separadas 35 mm entre sí, cierre mediante estribo, bastidor simple y sistema de anclaje lateral con taladro directo en el marco para atornillar a pilastras de obra. Protección del conjunto mediante galvanizado en caliente de gran resistencia antioxidante; tratamiento de desengrase y fosfatado; lacado al horno con poliéster ferrotexturado color RAL 7016. Máxima adherencia del revestimiento exterior. Totalmente montado en obra. Incluso p/p de todos los elementos necesarios para su colocación (tornillería, accesorios, etc.).</t>
  </si>
  <si>
    <t xml:space="preserve">UVT030b</t>
  </si>
  <si>
    <t xml:space="preserve">VALLA METÁLICA TIPO HÉRCULES h=1,00 m</t>
  </si>
  <si>
    <t xml:space="preserve">Perímetro piscinas: 1 × 102.75
Separación piscinas: 1 × 17.80</t>
  </si>
  <si>
    <t xml:space="preserve">Medidas: 200x50mm, 50x50mm, 50x30x1,5mm, 40x30x1,5mm · Color: RAL 6015; verde</t>
  </si>
  <si>
    <t xml:space="preserve">VALLA METÁLICA TIPO HÉRCULES h=1,00 mVallado de parcela tipo hércules o similar formado por panel de malla electrosoldada con pliegues de refuerzo, de 200x50 mm de paso de malla, reducido a 50x50 mm en las zonas de pliegue, y 5 mm de diámetro, enmarcada con tubos horizontales de 50x30x1,5 mm y tubos verticales de 40x30x1,5 mm, de 3,00x1,00 m, acabado galvanizado y plastificado en color verde RAL 6015 y postes de perfil hueco de sección rectangular de 60x40x1,5 mm, empotrados en el soporte.</t>
  </si>
  <si>
    <t xml:space="preserve">UVT030bb</t>
  </si>
  <si>
    <t xml:space="preserve">PUERTA METÁLICA TIPO HÉRCULES h=1,00 m</t>
  </si>
  <si>
    <t xml:space="preserve">Puertas acceso piscinas: 3</t>
  </si>
  <si>
    <t xml:space="preserve">PUERTA METÁLICA TIPO HÉRCULES h=1,00 mPuerta cancela constituida por cercos y bastidor de tubo de acero galvanizado tipo hércules o similar formado por panel de malla electrosoldada con pliegues de refuerzo, de 200x50 mm de paso de malla, reducido a 50x50 mm en las zonas de pliegue, y 5 mm de diámetro, enmarcada con tubos horizontales de 50x30x1,5 mm y tubos verticales de 40x30x1,5 mm, de 1,00x1,00 m, acabado galvanizado y plastificado en color verde RAL 6015 y postes de perfil hueco de sección rectangular de 60x40x1,5 mm, empotrados en el soporte.</t>
  </si>
  <si>
    <t xml:space="preserve">UVT030</t>
  </si>
  <si>
    <t xml:space="preserve">VALLA METÁLICA TIPO HÉRCULES h=2,00 m</t>
  </si>
  <si>
    <t xml:space="preserve">Separación entre viviendas
VIV 1-VIV 2: 1 × 1.90
VIV 2-VIV 3: 1 × 19.75
VIV 3-VIV 4: 1 × 1.50
VIV 4-VIV 5: 1 × 19.75
VIV 5-VIV 6: 1 × 19.75
VIV 6-VIV 7: 1 × 1.90
VIV 8-VIV 9: 1 × 3.90
VIV 9-VIV 10: 1 × 21.75
VIV 10-VIV 11: 1 × 21.75
VIV 11-VIV 12: 1 × 3.60
VIV 13-VIV 14: 1 × 3.00
VIV 14-VIV 15: 1 × 20.85
VIV 15-VIV 16: 1 × 3.00
VIV 16-PARCELA 17: 1 × 21.10
Separación viviendas-Zona común
1 × 315.35</t>
  </si>
  <si>
    <t xml:space="preserve">VALLA METÁLICA TIPO HÉRCULES h=2,00 mVallado de parcela tipo hércules o similar formado por panel de malla electrosoldada con pliegues de refuerzo, de 200x50 mm de paso de malla, reducido a 50x50 mm en las zonas de pliegue, y 5 mm de diámetro, enmarcada con tubos horizontales de 50x30x1,5 mm y tubos verticales de 40x30x1,5 mm, de 3,00x2,00 m, acabado galvanizado y plastificado en color verde RAL 6015 y postes de perfil hueco de sección rectangular de 60x40x1,5 mm, empotrados en el soporte.</t>
  </si>
  <si>
    <t xml:space="preserve">UVT030bbb</t>
  </si>
  <si>
    <t xml:space="preserve">PUERTA METÁLICA TIPO HÉRCULES h=2,00 m</t>
  </si>
  <si>
    <t xml:space="preserve">Puerta viviendas a Zona común: 16</t>
  </si>
  <si>
    <t xml:space="preserve">PUERTA METÁLICA TIPO HÉRCULES h=2,00 mPuerta cancela constituida por cercos y bastidor de tubo de acero galvanizado tipo hércules o similar formado por panel de malla electrosoldada con pliegues de refuerzo, de 200x50 mm de paso de malla, reducido a 50x50 mm en las zonas de pliegue, y 5 mm de diámetro, enmarcada con tubos horizontales de 50x30x1,5 mm y tubos verticales de 40x30x1,5 mm, de 1,00x2,00 m, acabado galvanizado y plastificado en color verde RAL 6015 y postes de perfil hueco de sección rectangular de 60x40x1,5 mm, empotrados en el soporte.</t>
  </si>
  <si>
    <t xml:space="preserve">Névola · Seguridad y salud · 16 viviendas</t>
  </si>
  <si>
    <t xml:space="preserve">Capítulo C.18 del proyecto de ejecución (BC3 de julio de 2026). Medición de toda la promoción y su desglose tal como viene en el proyecto. Precios del proyecto (CYPE, PEM, sin IVA), solo como referencia.</t>
  </si>
  <si>
    <t xml:space="preserve">1401</t>
  </si>
  <si>
    <t xml:space="preserve">SEGURIDAD Y SALUD</t>
  </si>
  <si>
    <t xml:space="preserve">SEGURIDAD Y SALUDMedición y presupuesto detallados según ESTUDIO DE SEGURIDAD Y SALUD (CAPÍTULO 3)</t>
  </si>
  <si>
    <t xml:space="preserve">Névola · Control de calidad · 16 viviendas</t>
  </si>
  <si>
    <t xml:space="preserve">Capítulo C.19 del proyecto de ejecución (BC3 de julio de 2026). Medición de toda la promoción y su desglose tal como viene en el proyecto. Precios del proyecto (CYPE, PEM, sin IVA), solo como referencia.</t>
  </si>
  <si>
    <t xml:space="preserve">XEB010</t>
  </si>
  <si>
    <t xml:space="preserve">ENSAYO MUESTRA DE BARRAS DE ACERO CORRUGADO DE UN MISMO LOTE</t>
  </si>
  <si>
    <t xml:space="preserve">B 500 S (Serie fina): 16
B 500 S (Serie media): 16
B 500 S (Serie gruesa): 16</t>
  </si>
  <si>
    <t xml:space="preserve">ENSAYO MUESTRA DE BARRAS DE ACERO CORRUGADO DE UN MISMO LOTEEnsayo a realizar en laboratorio acreditado en el área técnica correspondiente, sobre una muestra de dos barras de acero corrugado de un mismo lote, tomada en obra, para la determinación de las siguientes características: sección media equivalente según UNE-EN ISO 15630-1, características geométricas del corrugado según UNE-EN 10080, doblado/desdoblado según UNE-EN ISO 15630-1. Incluso desplazamiento a obra, toma de muestra e informe de resultados.</t>
  </si>
  <si>
    <t xml:space="preserve">XEB020</t>
  </si>
  <si>
    <t xml:space="preserve">ENSAYO MUESTRA DE BARRAS DE ACERO CORRUGADO DE CADA DIÁMETRO</t>
  </si>
  <si>
    <t xml:space="preserve">d=8: 16
d=10: 16
d=12: 16
d=16: 16</t>
  </si>
  <si>
    <t xml:space="preserve">ENSAYO MUESTRA DE BARRAS DE ACERO CORRUGADO DE CADA DIÁMETROEnsayo a realizar en laboratorio acreditado en el área técnica correspondiente, sobre una muestra de una barra de acero corrugado de cada diámetro diferente, tomada en obra, para la determinación de las siguientes características mecánicas: límite elástico, carga de rotura, alargamiento de rotura y alargamiento bajo carga máxima según UNE-EN ISO 15630-1. Incluso desplazamiento a obra, toma de muestra e informe de resultados.</t>
  </si>
  <si>
    <t xml:space="preserve">XEM020</t>
  </si>
  <si>
    <t xml:space="preserve">ENSAYO MUESTRA DE MALLAS ELECTROSOLDADAS DE CADA DIÁMETRO</t>
  </si>
  <si>
    <t xml:space="preserve">ENSAYO MUESTRA DE MALLAS ELECTROSOLDADASEnsayo a realizar en laboratorio acreditado en el área técnica correspondiente, sobre una muestra de una malla electrosoldada, tomada en obra, para la determinación de las siguientes características mecánicas: límite elástico, carga de rotura, alargamiento de rotura y alargamiento bajo carga máxima según UNE-EN ISO 15630-2. Incluso desplazamiento a obra, toma de muestra e informe de resultados.</t>
  </si>
  <si>
    <t xml:space="preserve">D50EB015</t>
  </si>
  <si>
    <t xml:space="preserve">TOMA MUESTRA HORMIGÓN, 5 PROBETAS</t>
  </si>
  <si>
    <t xml:space="preserve">Cimentación: 16
Estructura: 16 × 2.00</t>
  </si>
  <si>
    <t xml:space="preserve">Medidas: 15x30cm</t>
  </si>
  <si>
    <t xml:space="preserve">TOMA MUESTRA HORMIGÓN, 5 PROBETASToma de muestras de hormigón fresco (serie de 5 probetas) de una misma amasada para control estadístico del hormigón, de acuerdo a Código Estructural 2021, incluyendo muestreo del hormigón, medida del asíento de cono, fábricación de 5 probetas cilíndricas de 15 x 30 cm, curado, refrentado y rotura a los días que el plan de control aprobado determine.</t>
  </si>
  <si>
    <t xml:space="preserve">D50EB090</t>
  </si>
  <si>
    <t xml:space="preserve">INSPECCIÓN HORMIGÓN ESCLERÓMETRO</t>
  </si>
  <si>
    <t xml:space="preserve">INSPECCIÓN HORMIGÓN ESCLERÓMETROInspección de hormigónes con esclerómetro (por punto).</t>
  </si>
  <si>
    <t xml:space="preserve">D50EB092</t>
  </si>
  <si>
    <t xml:space="preserve">INSPECCIÓN HORMIGÓN ULTRASONIDO</t>
  </si>
  <si>
    <t xml:space="preserve">INSPECCIÓN HORMIGÓN ULTRASONIDOInspección de hormigónes con ultrasonidos (por punto).</t>
  </si>
  <si>
    <t xml:space="preserve">D50EB820</t>
  </si>
  <si>
    <t xml:space="preserve">ENSAYO QUÍMICO CEMENTO</t>
  </si>
  <si>
    <t xml:space="preserve">ENSAYO QUÍMICO CEMENTOAnálisis químico de cemento, según RC-03, determinado: - SO3  y contenido de cloruros.</t>
  </si>
  <si>
    <t xml:space="preserve">XRQ010</t>
  </si>
  <si>
    <t xml:space="preserve">PRUEBA ESTANQUEIDAD CUBIERTA</t>
  </si>
  <si>
    <t xml:space="preserve">PAREADOS: 7
AISLADA TIPO 1 (VIVIENDA 5): 1
AISLADA TIPO 2 (VIVIENDA 10): 1</t>
  </si>
  <si>
    <t xml:space="preserve">PRUEBA ESTANQUEIDAD CUBIERTAPrueba de servicio a realizar por laboratorio acreditado en el área técnica correspondiente, para comprobar la estanqueidad de una cubierta plana de hasta 150 m² de superficie mediante inundación de toda su superficie. Incluso desplazamiento a obra e informe de resultados.Incluye: Desplazamiento a obra. Realización de la prueba. Redacción de informe del resultado de la prueba realizada.Criterio de medición de proyecto: Prueba a realizar, según documentación del Plan de control de calidad.Criterio de medición de obra: Se medirá el número de pruebas realizadas por laboratorio acreditado según especificaciones de Proyecto.</t>
  </si>
  <si>
    <t xml:space="preserve">D50EC660</t>
  </si>
  <si>
    <t xml:space="preserve">ENSAYO DE ESTANQUEIDAD SANEAMIENTO</t>
  </si>
  <si>
    <t xml:space="preserve">ENSAYO DE ESTANQUEIDAD SANEAMIENTOPrueba de servicio final a realizar por laboratorio acreditado en el área técnica correspondiente, para comprobar el correcto funcionamiento de la red interior de evacuación de aguas residuales que conecta con la red general de saneamiento en un punto, en condiciones de simultaneidad de los aparatos sanitarios, con los tapones de desagüe retirados. Incluso desplazamiento a obra e informe de resultados.</t>
  </si>
  <si>
    <t xml:space="preserve">D50ES620</t>
  </si>
  <si>
    <t xml:space="preserve">ENSAYO TUBERÍAS CALEFACCIÓN/CLIMATIZACIÓN</t>
  </si>
  <si>
    <t xml:space="preserve">ENSAYO TUBERÍAS CALEFACCIÓN/CLIMATIZACIÓNEnsayos de las tuberías  utilizadas en obra en la red de calefacción y/o climatización (cobre, aluminio,  polipropileno, polibutileno, etc...), por unidad diferenciada, consistente en: Características geométricas, y/o resistencia al calor, y/o estanqueidad, y/o prueba de tracción, y/o aptitud al doblado s/ UNE ; verificando la idoneidad con  la normativa de aplicación.</t>
  </si>
  <si>
    <t xml:space="preserve">1604</t>
  </si>
  <si>
    <t xml:space="preserve">PRUEBA SERVICIO INST. FONTANERÍA VIV. UNIF.</t>
  </si>
  <si>
    <t xml:space="preserve">PRUEBA SERVICIO INST. FONTANERÍA VIV. UNIF.Prueba de servicio de la red de fontanería de una vivienda unifamiliar, consistente en: 1)Prueba de presión y estanquidad, según Norma Básica de las instalaciones interiores de agua. 2)Comprobación de funcionamiento de la instalación en lo que se refiere a la llegada de agua a los puntos de consumo, correcto funcionamiento de llaves, identificación e inexistencia de gotas,(por local), según UNE 19-703-84. 3)Comprobación del tipo y espesor de aislamiento en canalizaciones de distribución según IT- IC 19. 4)Ensayo de vertido y evacuación (por local). 5)Prueba de funcionamiento del grupo de presión. 6)Simultaneidad de caudales con comprobación de caudales en los puntos de consumo más desfavorables. Por último se comprobará la inexistencia de manchas de humedad en los aseos y locales anexos del edificio.(precio por unidad de vivienda).</t>
  </si>
  <si>
    <t xml:space="preserve">1606</t>
  </si>
  <si>
    <t xml:space="preserve">PRUEBA SERVICIO INST. ELÉCTRICA VIV. UNIF.</t>
  </si>
  <si>
    <t xml:space="preserve">PRUEBA SERVICIO INST. ELÉCTRICA VIV. UNIF.Prueba de servicio de la instalación eléctrica de una vivienda unifamiliar hasta 400 m2 de superficie construida, comprobando la red de baja tensión y alumbrado, consistente en: 1)INSTALACIÓN INTERIOR: Verificación de certificaciones de los materiales utilizados; Revisión y medida de la red de puesta a tierra de la instalación, según ITC-BT-18.12; Comprobación de funcionamiento de los dispositivos individuales de mando y protección, según ITC-BT-17; Medida de tensión en cuadro secundario o cuadro general entre fase y fases-neutro(por cuadro); comprobación del equilibrado de fases; Verificación de tiempo de disparo y sensibilidad de interruptores diferenciales (por interruptor) UNE 20-383-85; Verificación de interruptores de protección (por interruptor); Determinación de caida de tensión (por circuito) REBT MIBT 017; Medida de aislamiento entre conductores activos y tierra, según MIBT 017, por circuito; Medida del factor de potencia a la entrada de cuadro (por circuito); 2)ACOMETIDA A LA RED GENERAL: Verificación de la acometida a la red general de distribución de energía de acuerdo a ITC-BT-11, comprobación de la instalación de enlace de acuerdo a ITC-BT-12; 3)DOCUMENTACIÓN ADMINIS TRATIVA: Verificación de la existencia de la documentación técnica que debe tener la instalación para ser legalmente puesta en servicio así como que la misma ha sido tramitada en el organismo competente de la administración, todo de acuerdo a ITC-BT-04 para conseguir el certificado de la instalación debidamente visado; Verificación de la existencia del alta del suministro de energía realizada por el titular de la instalación ante la compañía suministradora habiendo entregado para ello el correspondiente certificado de la instalación de acuerdo a ITC-BT-04.</t>
  </si>
  <si>
    <t xml:space="preserve">1507b</t>
  </si>
  <si>
    <t xml:space="preserve">PROTOCOLO PUESTA A TIERRA PISCINAS</t>
  </si>
  <si>
    <t xml:space="preserve">PROTOCOLO PUESTA A TIERRA PISCINASProtocolo de medición de puesta a tierra de una piscina comunitaria consistente en la revisión y prueba de la red equipotencial (unión de escaleras, duchas, skimers, luminarias y bombas) y la medición de su resistencia a dispersión con el objetivo de evitar riesgos de electrocucción.</t>
  </si>
  <si>
    <t xml:space="preserve">1507</t>
  </si>
  <si>
    <t xml:space="preserve">CONTROL TÉCNICO OCT</t>
  </si>
  <si>
    <t xml:space="preserve">Control OCT: 16</t>
  </si>
  <si>
    <t xml:space="preserve">CONTROL TÉCNICO OCTControl técnico de obra por OCT en vivienda de hasta 150 m² de superficie situada a una distancia mayor de 5 km. Incluso desplazamiento a obra e informe de resultados de cada una de las misiones de control técnico a realizar en el ámbito del seguro decenal, relativas al cumplimiento de la garantía obligatoria prevista en el artículo 19.1.c de la L.O.E.</t>
  </si>
  <si>
    <t xml:space="preserve">Névola · Gestión de residuos · 16 viviendas</t>
  </si>
  <si>
    <t xml:space="preserve">Capítulo C.20 del proyecto de ejecución (BC3 de julio de 2026). Medición de toda la promoción y su desglose tal como viene en el proyecto. Precios del proyecto (CYPE, PEM, sin IVA), solo como referencia.</t>
  </si>
  <si>
    <t xml:space="preserve">GTA020</t>
  </si>
  <si>
    <t xml:space="preserve">CARGA Y TRANSPORTE MOVIMIENTO DE TIERRAS</t>
  </si>
  <si>
    <t xml:space="preserve">EXCAVACIÓN
POZOS DE CIMENTACIÓN: 1 × 283.72
ZAPATAS  AISLADAS: 1 × 199.50
VIGAS DE ATADO: 1 × 129.53</t>
  </si>
  <si>
    <t xml:space="preserve">CARGA Y TRANSPORTE MOVIMIENTO DE TIERRASTransporte de tierras con camión de los productos procedentes de la excavación de cualquier tipo de terreno a vertedero específico, instalación de tratamiento de residuos de construcción y demolición externa a la obra o centro de valorización o eliminación de residuos, situado a una distancia no limitada. El precio incluye el tiempo de espera en obra durante las operaciones de carga, el viaje de ida, la descarga y el viaje de vuelta, y la carga en obra.</t>
  </si>
  <si>
    <t xml:space="preserve">GTB020</t>
  </si>
  <si>
    <t xml:space="preserve">CANON VERTIDO TIERRAS EXCAVACIÓN</t>
  </si>
  <si>
    <t xml:space="preserve">EXCAVACIÓN: 1 × 612.75</t>
  </si>
  <si>
    <t xml:space="preserve">CANON VERTIDO TIERRAS EXCAVACIÓNCanon de vertido por entrega de tierras procedentes de la excavación, en vertedero específico, instalación de tratamiento de residuos de construcción y demolición externa a la obra o centro de valorización o eliminación de residuos.</t>
  </si>
  <si>
    <t xml:space="preserve">GRA010</t>
  </si>
  <si>
    <t xml:space="preserve">TRANSPORTE DE RESIDUOS INERTES (HORMIGONES, MORTEROS Y PREFABRICADOS)</t>
  </si>
  <si>
    <t xml:space="preserve">TRANSPORTE DE RESIDUOS INERTES (HORMIGONES, MORTEROS Y PREFABRICADOS)Transporte de residuos inertes de hormigones, morteros y prefabricados producidos en obras de construcción y/o demolición, con contenedor de 7 m³, a vertedero específico, instalación de tratamiento de residuos de construcción y demolición externa a la obra o centro de valorización o eliminación de residuos.</t>
  </si>
  <si>
    <t xml:space="preserve">GRA010b</t>
  </si>
  <si>
    <t xml:space="preserve">TRANSPORTE DE RESIDUOS INERTES (MADERA)</t>
  </si>
  <si>
    <t xml:space="preserve">TRANSPORTE DE RESIDUOS INERTES (MADERA)Transporte de residuos inertes de madera producidos en obras de construcción y/o demolición, con contenedor de 7 m³, a vertedero específico, instalación de tratamiento de residuos de construcción y demolición externa a la obra o centro de valorización o eliminación de residuos.</t>
  </si>
  <si>
    <t xml:space="preserve">GRA010c</t>
  </si>
  <si>
    <t xml:space="preserve">TRANSPORTE DE RESIDUOS INERTES (PLÁSTICOS)</t>
  </si>
  <si>
    <t xml:space="preserve">TRANSPORTE DE RESIDUOS INERTES (PLÁSTICOS)Transporte de residuos inertes plásticos producidos en obras de construcción y/o demolición, con contenedor de 7 m³, a vertedero específico, instalación de tratamiento de residuos de construcción y demolición externa a la obra o centro de valorización o eliminación de residuos.</t>
  </si>
  <si>
    <t xml:space="preserve">GRA010e</t>
  </si>
  <si>
    <t xml:space="preserve">TRANSPORTE DE RESIDUOS INERTES (METÁLICOS)</t>
  </si>
  <si>
    <t xml:space="preserve">TRANSPORTE DE RESIDUOS INERTES (METÁLICOS)Transporte de residuos inertes metálicos producidos en obras de construcción y/o demolición, con contenedor de 7 m³, a vertedero específico, instalación de tratamiento de residuos de construcción y demolición externa a la obra o centro de valorización o eliminación de residuos.</t>
  </si>
  <si>
    <t xml:space="preserve">GRA010f</t>
  </si>
  <si>
    <t xml:space="preserve">TRANSPORTE DE RESIDUOS INERTES (SIN CLASIFICAR)</t>
  </si>
  <si>
    <t xml:space="preserve">TRANSPORTE DE RESIDUOS INERTES (SIN CLASIFICAR)Transporte de mezcla sin clasificar de residuos inertes producidos en obras de construcción y/o demolición, con contenedor de 7 m³, a vertedero específico, instalación de tratamiento de residuos de construcción y demolición externa a la obra o centro de valorización o eliminación de residuos.</t>
  </si>
  <si>
    <t xml:space="preserve">GRB010</t>
  </si>
  <si>
    <t xml:space="preserve">CANON VERTIDO RESIDUOS INERTES</t>
  </si>
  <si>
    <t xml:space="preserve">80</t>
  </si>
  <si>
    <t xml:space="preserve">CANON VERTIDO RESIDUOS INERTESCanon de vertido por entrega de contenedor de 7 m³ con mezcla sin clasificar de residuos inertes producidos en obras de construcción y/o demolición, en vertedero específico, instalación de tratamiento de residuos de construcción y demolición externa a la obra o centro de valorización o eliminación de residuos.</t>
  </si>
  <si>
    <t xml:space="preserve">Névola · Acero de los módulos · 16 viviendas</t>
  </si>
  <si>
    <t xml:space="preserve">Cálculo del piloto (herramientas/nevtec/piloto_calc.js, M4 entero) multiplicado por 16. Las 2 aisladas se cuentan como la pareada tipo: confirmar con su modulación.</t>
  </si>
  <si>
    <t xml:space="preserve">Perfil / elemento</t>
  </si>
  <si>
    <t xml:space="preserve">kg/m</t>
  </si>
  <si>
    <t xml:space="preserve">m por vivienda</t>
  </si>
  <si>
    <t xml:space="preserve">kg por vivienda</t>
  </si>
  <si>
    <t xml:space="preserve">m 16 viv.</t>
  </si>
  <si>
    <t xml:space="preserve">kg 16 viv.</t>
  </si>
  <si>
    <t xml:space="preserve">Dónde va</t>
  </si>
  <si>
    <t xml:space="preserve">IPE 200</t>
  </si>
  <si>
    <t xml:space="preserve">Marcos de suelo y techo</t>
  </si>
  <si>
    <t xml:space="preserve">IPE 220</t>
  </si>
  <si>
    <t xml:space="preserve">Bordes en vuelo (M4 y frente de P1)</t>
  </si>
  <si>
    <t xml:space="preserve">IPE 160</t>
  </si>
  <si>
    <t xml:space="preserve">Pilares</t>
  </si>
  <si>
    <t xml:space="preserve">HEA 100</t>
  </si>
  <si>
    <t xml:space="preserve">Correas de suelo</t>
  </si>
  <si>
    <t xml:space="preserve">SHS 60.40.3</t>
  </si>
  <si>
    <t xml:space="preserve">Correas de techo</t>
  </si>
  <si>
    <t xml:space="preserve">L 80.8</t>
  </si>
  <si>
    <t xml:space="preserve">Angular de apoyo de panel</t>
  </si>
  <si>
    <t xml:space="preserve">Escalera metálica (HEA 140 y peldaño)</t>
  </si>
  <si>
    <t xml:space="preserve">Escalera</t>
  </si>
  <si>
    <t xml:space="preserve">Chapa, pletinas y refuerzos</t>
  </si>
  <si>
    <t xml:space="preserve">Refuerzos, remates y arriostramiento</t>
  </si>
  <si>
    <t xml:space="preserve">Total acero</t>
  </si>
  <si>
    <t xml:space="preserve">Para ArcelorMittal: pedir precio por perfil para los kg de la columna «kg 16 viv.», con corte a medida, y por separado para una vivienda (piloto). Los metros son de perfil colocado; añadir mermas de corte.</t>
  </si>
  <si>
    <t xml:space="preserve">Névola · Panel y envolvente de los módulos · 16 viviendas</t>
  </si>
  <si>
    <t xml:space="preserve">Superficies del cálculo del piloto (piloto_calc.js) multiplicadas por 16, para pedir el panel sándwich (Tabihaus o equivalente). Las aisladas, como la pareada.</t>
  </si>
  <si>
    <t xml:space="preserve">Superficie</t>
  </si>
  <si>
    <t xml:space="preserve">Por vivienda</t>
  </si>
  <si>
    <t xml:space="preserve">16 viviendas</t>
  </si>
  <si>
    <t xml:space="preserve">Cómo se mide</t>
  </si>
  <si>
    <t xml:space="preserve">Fachada de planta baja (delantera, lateral y trasera)</t>
  </si>
  <si>
    <t xml:space="preserve">Perímetro exterior × 3,15 m de panel</t>
  </si>
  <si>
    <t xml:space="preserve">Fachada de planta primera (con peto)</t>
  </si>
  <si>
    <t xml:space="preserve">Perímetro exterior × 3,80 m (incluye peto de 0,75 m)</t>
  </si>
  <si>
    <t xml:space="preserve">Huecos de fachada a descontar</t>
  </si>
  <si>
    <t xml:space="preserve">Superficie de huecos del proyecto (DB HE1)</t>
  </si>
  <si>
    <t xml:space="preserve">Fachada opaca neta</t>
  </si>
  <si>
    <t xml:space="preserve">Fachada PB + P1 − huecos</t>
  </si>
  <si>
    <t xml:space="preserve">Medianera (las dos plantas)</t>
  </si>
  <si>
    <t xml:space="preserve">Lado de la vivienda vecina</t>
  </si>
  <si>
    <t xml:space="preserve">Cubierta</t>
  </si>
  <si>
    <t xml:space="preserve">Superficie de los módulos de planta primera</t>
  </si>
  <si>
    <t xml:space="preserve">Terraza sobre planta baja</t>
  </si>
  <si>
    <t xml:space="preserve">Cubierta transitable sobre M1 y M2</t>
  </si>
  <si>
    <t xml:space="preserve">Sofito de los vuelos</t>
  </si>
  <si>
    <t xml:space="preserve">Panel inferior de los voladizos de 0,60 m</t>
  </si>
  <si>
    <t xml:space="preserve">Suelo de planta baja</t>
  </si>
  <si>
    <t xml:space="preserve">Sobre la cámara sanitaria</t>
  </si>
  <si>
    <t xml:space="preserve">Juntas entre módulos</t>
  </si>
  <si>
    <t xml:space="preserve">Metros lineales a sellar</t>
  </si>
</sst>
</file>

<file path=xl/styles.xml><?xml version="1.0" encoding="utf-8"?>
<styleSheet xmlns="http://schemas.openxmlformats.org/spreadsheetml/2006/main">
  <numFmts count="5">
    <numFmt numFmtId="164" formatCode="General"/>
    <numFmt numFmtId="165" formatCode="#,##0.00&quot; €&quot;"/>
    <numFmt numFmtId="166" formatCode="#,##0.00"/>
    <numFmt numFmtId="167" formatCode="#,##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9.5"/>
      <color rgb="FF5E6064"/>
      <name val="Arial"/>
      <family val="0"/>
      <charset val="1"/>
    </font>
    <font>
      <b val="true"/>
      <sz val="10"/>
      <color rgb="FFFFFFFF"/>
      <name val="Arial"/>
      <family val="0"/>
      <charset val="1"/>
    </font>
    <font>
      <sz val="10"/>
      <name val="Arial"/>
      <family val="0"/>
      <charset val="1"/>
    </font>
    <font>
      <u val="single"/>
      <sz val="10"/>
      <color rgb="FFC8381F"/>
      <name val="Arial"/>
      <family val="0"/>
      <charset val="1"/>
    </font>
    <font>
      <b val="true"/>
      <sz val="10"/>
      <name val="Arial"/>
      <family val="0"/>
      <charset val="1"/>
    </font>
    <font>
      <sz val="10"/>
      <color rgb="FF5E6064"/>
      <name val="Arial"/>
      <family val="0"/>
      <charset val="1"/>
    </font>
    <font>
      <sz val="10"/>
      <color rgb="FFC8381F"/>
      <name val="Arial"/>
      <family val="0"/>
      <charset val="1"/>
    </font>
    <font>
      <i val="true"/>
      <sz val="10"/>
      <color rgb="FF5E6064"/>
      <name val="Arial"/>
      <family val="0"/>
      <charset val="1"/>
    </font>
  </fonts>
  <fills count="3">
    <fill>
      <patternFill patternType="none"/>
    </fill>
    <fill>
      <patternFill patternType="gray125"/>
    </fill>
    <fill>
      <patternFill patternType="solid">
        <fgColor rgb="FF141414"/>
        <bgColor rgb="FF000000"/>
      </patternFill>
    </fill>
  </fills>
  <borders count="3">
    <border diagonalUp="false" diagonalDown="false">
      <left/>
      <right/>
      <top/>
      <bottom/>
      <diagonal/>
    </border>
    <border diagonalUp="false" diagonalDown="false">
      <left/>
      <right/>
      <top/>
      <bottom style="thin">
        <color rgb="FFC3C5BF"/>
      </bottom>
      <diagonal/>
    </border>
    <border diagonalUp="false" diagonalDown="false">
      <left/>
      <right/>
      <top style="medium">
        <color rgb="FF14141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C5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064"/>
      <rgbColor rgb="FF969696"/>
      <rgbColor rgb="FF003366"/>
      <rgbColor rgb="FF339966"/>
      <rgbColor rgb="FF141414"/>
      <rgbColor rgb="FF333300"/>
      <rgbColor rgb="FFC8381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ed.xlsx" TargetMode="External"/><Relationship Id="rId2" Type="http://schemas.openxmlformats.org/officeDocument/2006/relationships/hyperlink" Target="../med.xlsx" TargetMode="External"/><Relationship Id="rId3" Type="http://schemas.openxmlformats.org/officeDocument/2006/relationships/hyperlink" Target="../med.xlsx" TargetMode="External"/><Relationship Id="rId4" Type="http://schemas.openxmlformats.org/officeDocument/2006/relationships/hyperlink" Target="../med.xlsx" TargetMode="External"/><Relationship Id="rId5" Type="http://schemas.openxmlformats.org/officeDocument/2006/relationships/hyperlink" Target="../med.xlsx" TargetMode="External"/><Relationship Id="rId6" Type="http://schemas.openxmlformats.org/officeDocument/2006/relationships/hyperlink" Target="../med.xlsx" TargetMode="External"/><Relationship Id="rId7" Type="http://schemas.openxmlformats.org/officeDocument/2006/relationships/hyperlink" Target="../med.xlsx" TargetMode="External"/><Relationship Id="rId8" Type="http://schemas.openxmlformats.org/officeDocument/2006/relationships/hyperlink" Target="../med.xlsx" TargetMode="External"/><Relationship Id="rId9" Type="http://schemas.openxmlformats.org/officeDocument/2006/relationships/hyperlink" Target="../med.xlsx" TargetMode="External"/><Relationship Id="rId10" Type="http://schemas.openxmlformats.org/officeDocument/2006/relationships/hyperlink" Target="../med.xlsx" TargetMode="External"/><Relationship Id="rId11" Type="http://schemas.openxmlformats.org/officeDocument/2006/relationships/hyperlink" Target="../med.xlsx" TargetMode="External"/><Relationship Id="rId12" Type="http://schemas.openxmlformats.org/officeDocument/2006/relationships/hyperlink" Target="../med.xlsx" TargetMode="External"/><Relationship Id="rId13" Type="http://schemas.openxmlformats.org/officeDocument/2006/relationships/hyperlink" Target="../med.xlsx" TargetMode="External"/><Relationship Id="rId14" Type="http://schemas.openxmlformats.org/officeDocument/2006/relationships/hyperlink" Target="../med.xlsx" TargetMode="External"/><Relationship Id="rId15" Type="http://schemas.openxmlformats.org/officeDocument/2006/relationships/hyperlink" Target="../med.xlsx" TargetMode="External"/><Relationship Id="rId16" Type="http://schemas.openxmlformats.org/officeDocument/2006/relationships/hyperlink" Target="../med.xlsx" TargetMode="External"/><Relationship Id="rId17" Type="http://schemas.openxmlformats.org/officeDocument/2006/relationships/hyperlink" Target="../med.xlsx" TargetMode="External"/><Relationship Id="rId18" Type="http://schemas.openxmlformats.org/officeDocument/2006/relationships/hyperlink" Target="../med.xlsx" TargetMode="External"/><Relationship Id="rId19" Type="http://schemas.openxmlformats.org/officeDocument/2006/relationships/hyperlink" Target="../med.xlsx" TargetMode="External"/><Relationship Id="rId20" Type="http://schemas.openxmlformats.org/officeDocument/2006/relationships/hyperlink" Target="../med.xlsx" TargetMode="External"/><Relationship Id="rId21" Type="http://schemas.openxmlformats.org/officeDocument/2006/relationships/hyperlink" Target="../med.xlsx" TargetMode="External"/><Relationship Id="rId22" Type="http://schemas.openxmlformats.org/officeDocument/2006/relationships/hyperlink" Target="../med.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0"/>
    <col collapsed="false" customWidth="true" hidden="false" outlineLevel="0" max="6" min="4" style="0" width="14"/>
    <col collapsed="false" customWidth="true" hidden="false" outlineLevel="0" max="7" min="7"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row>
    <row r="5" customFormat="false" ht="15" hidden="false" customHeight="false" outlineLevel="0" collapsed="false">
      <c r="A5" s="4" t="s">
        <v>9</v>
      </c>
      <c r="B5" s="5" t="s">
        <v>10</v>
      </c>
      <c r="C5" s="4" t="n">
        <v>5</v>
      </c>
      <c r="D5" s="4" t="n">
        <v>0</v>
      </c>
      <c r="E5" s="4" t="n">
        <v>0</v>
      </c>
      <c r="F5" s="4" t="n">
        <v>5</v>
      </c>
      <c r="G5" s="6" t="n">
        <f aca="false">'01 Actuaciones previas'!J10</f>
        <v>26049.7473</v>
      </c>
    </row>
    <row r="6" customFormat="false" ht="15" hidden="false" customHeight="false" outlineLevel="0" collapsed="false">
      <c r="A6" s="4" t="s">
        <v>11</v>
      </c>
      <c r="B6" s="5" t="s">
        <v>12</v>
      </c>
      <c r="C6" s="4" t="n">
        <v>5</v>
      </c>
      <c r="D6" s="4" t="n">
        <v>0</v>
      </c>
      <c r="E6" s="4" t="n">
        <v>0</v>
      </c>
      <c r="F6" s="4" t="n">
        <v>5</v>
      </c>
      <c r="G6" s="6" t="n">
        <f aca="false">'02 Movimiento de tierras'!J10</f>
        <v>74690.0112</v>
      </c>
    </row>
    <row r="7" customFormat="false" ht="15" hidden="false" customHeight="false" outlineLevel="0" collapsed="false">
      <c r="A7" s="4" t="s">
        <v>13</v>
      </c>
      <c r="B7" s="5" t="s">
        <v>14</v>
      </c>
      <c r="C7" s="4" t="n">
        <v>18</v>
      </c>
      <c r="D7" s="4" t="n">
        <v>2</v>
      </c>
      <c r="E7" s="4" t="n">
        <v>3</v>
      </c>
      <c r="F7" s="4" t="n">
        <v>13</v>
      </c>
      <c r="G7" s="6" t="n">
        <f aca="false">'03 Saneamiento enterrado'!J23</f>
        <v>91944.6195</v>
      </c>
    </row>
    <row r="8" customFormat="false" ht="15" hidden="false" customHeight="false" outlineLevel="0" collapsed="false">
      <c r="A8" s="4" t="s">
        <v>15</v>
      </c>
      <c r="B8" s="5" t="s">
        <v>16</v>
      </c>
      <c r="C8" s="4" t="n">
        <v>14</v>
      </c>
      <c r="D8" s="4" t="n">
        <v>0</v>
      </c>
      <c r="E8" s="4" t="n">
        <v>4</v>
      </c>
      <c r="F8" s="4" t="n">
        <v>10</v>
      </c>
      <c r="G8" s="6" t="n">
        <f aca="false">'04 Cimentación y estructura'!J19</f>
        <v>371011.5624</v>
      </c>
    </row>
    <row r="9" customFormat="false" ht="15" hidden="false" customHeight="false" outlineLevel="0" collapsed="false">
      <c r="A9" s="4" t="s">
        <v>17</v>
      </c>
      <c r="B9" s="5" t="s">
        <v>18</v>
      </c>
      <c r="C9" s="4" t="n">
        <v>3</v>
      </c>
      <c r="D9" s="4" t="n">
        <v>0</v>
      </c>
      <c r="E9" s="4" t="n">
        <v>3</v>
      </c>
      <c r="F9" s="4" t="n">
        <v>0</v>
      </c>
      <c r="G9" s="6" t="n">
        <f aca="false">'05 Cubiertas'!J8</f>
        <v>121825.854</v>
      </c>
    </row>
    <row r="10" customFormat="false" ht="15" hidden="false" customHeight="false" outlineLevel="0" collapsed="false">
      <c r="A10" s="4" t="s">
        <v>19</v>
      </c>
      <c r="B10" s="5" t="s">
        <v>20</v>
      </c>
      <c r="C10" s="4" t="n">
        <v>12</v>
      </c>
      <c r="D10" s="4" t="n">
        <v>0</v>
      </c>
      <c r="E10" s="4" t="n">
        <v>12</v>
      </c>
      <c r="F10" s="4" t="n">
        <v>0</v>
      </c>
      <c r="G10" s="6" t="n">
        <f aca="false">'06 Albañilería'!J17</f>
        <v>237331.2834</v>
      </c>
    </row>
    <row r="11" customFormat="false" ht="15" hidden="false" customHeight="false" outlineLevel="0" collapsed="false">
      <c r="A11" s="4" t="s">
        <v>21</v>
      </c>
      <c r="B11" s="5" t="s">
        <v>22</v>
      </c>
      <c r="C11" s="4" t="n">
        <v>15</v>
      </c>
      <c r="D11" s="4" t="n">
        <v>2</v>
      </c>
      <c r="E11" s="4" t="n">
        <v>10</v>
      </c>
      <c r="F11" s="4" t="n">
        <v>3</v>
      </c>
      <c r="G11" s="6" t="n">
        <f aca="false">'07 Impermeabilización y aislami'!J20</f>
        <v>128361.6175</v>
      </c>
    </row>
    <row r="12" customFormat="false" ht="15" hidden="false" customHeight="false" outlineLevel="0" collapsed="false">
      <c r="A12" s="4" t="s">
        <v>23</v>
      </c>
      <c r="B12" s="5" t="s">
        <v>24</v>
      </c>
      <c r="C12" s="4" t="n">
        <v>9</v>
      </c>
      <c r="D12" s="4" t="n">
        <v>8</v>
      </c>
      <c r="E12" s="4" t="n">
        <v>1</v>
      </c>
      <c r="F12" s="4" t="n">
        <v>0</v>
      </c>
      <c r="G12" s="6" t="n">
        <f aca="false">'08 Pladur trasdosados, tabiques'!J14</f>
        <v>250503.0957</v>
      </c>
    </row>
    <row r="13" customFormat="false" ht="15" hidden="false" customHeight="false" outlineLevel="0" collapsed="false">
      <c r="A13" s="4" t="s">
        <v>25</v>
      </c>
      <c r="B13" s="5" t="s">
        <v>26</v>
      </c>
      <c r="C13" s="4" t="n">
        <v>12</v>
      </c>
      <c r="D13" s="4" t="n">
        <v>9</v>
      </c>
      <c r="E13" s="4" t="n">
        <v>0</v>
      </c>
      <c r="F13" s="4" t="n">
        <v>3</v>
      </c>
      <c r="G13" s="6" t="n">
        <f aca="false">'09 Alicatados y solados'!J17</f>
        <v>250268.0921</v>
      </c>
    </row>
    <row r="14" customFormat="false" ht="15" hidden="false" customHeight="false" outlineLevel="0" collapsed="false">
      <c r="A14" s="4" t="s">
        <v>27</v>
      </c>
      <c r="B14" s="5" t="s">
        <v>28</v>
      </c>
      <c r="C14" s="4" t="n">
        <v>4</v>
      </c>
      <c r="D14" s="4" t="n">
        <v>4</v>
      </c>
      <c r="E14" s="4" t="n">
        <v>0</v>
      </c>
      <c r="F14" s="4" t="n">
        <v>0</v>
      </c>
      <c r="G14" s="6" t="n">
        <f aca="false">'10 Carpintería interior'!J9</f>
        <v>62785.3715</v>
      </c>
    </row>
    <row r="15" customFormat="false" ht="15" hidden="false" customHeight="false" outlineLevel="0" collapsed="false">
      <c r="A15" s="4" t="s">
        <v>29</v>
      </c>
      <c r="B15" s="5" t="s">
        <v>30</v>
      </c>
      <c r="C15" s="4" t="n">
        <v>20</v>
      </c>
      <c r="D15" s="4" t="n">
        <v>14</v>
      </c>
      <c r="E15" s="4" t="n">
        <v>0</v>
      </c>
      <c r="F15" s="4" t="n">
        <v>6</v>
      </c>
      <c r="G15" s="6" t="n">
        <f aca="false">'11 Carpintería exterior y cerra'!J25</f>
        <v>258815.7612</v>
      </c>
    </row>
    <row r="16" customFormat="false" ht="15" hidden="false" customHeight="false" outlineLevel="0" collapsed="false">
      <c r="A16" s="4" t="s">
        <v>31</v>
      </c>
      <c r="B16" s="5" t="s">
        <v>32</v>
      </c>
      <c r="C16" s="4" t="n">
        <v>2</v>
      </c>
      <c r="D16" s="4" t="n">
        <v>2</v>
      </c>
      <c r="E16" s="4" t="n">
        <v>0</v>
      </c>
      <c r="F16" s="4" t="n">
        <v>0</v>
      </c>
      <c r="G16" s="6" t="n">
        <f aca="false">'12 Pintura'!J7</f>
        <v>59969.5309</v>
      </c>
    </row>
    <row r="17" customFormat="false" ht="15" hidden="false" customHeight="false" outlineLevel="0" collapsed="false">
      <c r="A17" s="4" t="s">
        <v>33</v>
      </c>
      <c r="B17" s="5" t="s">
        <v>34</v>
      </c>
      <c r="C17" s="4" t="n">
        <v>55</v>
      </c>
      <c r="D17" s="4" t="n">
        <v>39</v>
      </c>
      <c r="E17" s="4" t="n">
        <v>0</v>
      </c>
      <c r="F17" s="4" t="n">
        <v>16</v>
      </c>
      <c r="G17" s="6" t="n">
        <f aca="false">'13 Electricidad y telecomunicac'!J60</f>
        <v>237477.8985</v>
      </c>
    </row>
    <row r="18" customFormat="false" ht="15" hidden="false" customHeight="false" outlineLevel="0" collapsed="false">
      <c r="A18" s="4" t="s">
        <v>35</v>
      </c>
      <c r="B18" s="5" t="s">
        <v>36</v>
      </c>
      <c r="C18" s="4" t="n">
        <v>38</v>
      </c>
      <c r="D18" s="4" t="n">
        <v>23</v>
      </c>
      <c r="E18" s="4" t="n">
        <v>0</v>
      </c>
      <c r="F18" s="4" t="n">
        <v>15</v>
      </c>
      <c r="G18" s="6" t="n">
        <f aca="false">'14 Fontanería, saneamiento y sa'!J43</f>
        <v>123201.4801</v>
      </c>
    </row>
    <row r="19" customFormat="false" ht="15" hidden="false" customHeight="false" outlineLevel="0" collapsed="false">
      <c r="A19" s="4" t="s">
        <v>37</v>
      </c>
      <c r="B19" s="5" t="s">
        <v>38</v>
      </c>
      <c r="C19" s="4" t="n">
        <v>30</v>
      </c>
      <c r="D19" s="4" t="n">
        <v>30</v>
      </c>
      <c r="E19" s="4" t="n">
        <v>0</v>
      </c>
      <c r="F19" s="4" t="n">
        <v>0</v>
      </c>
      <c r="G19" s="6" t="n">
        <f aca="false">'15 Climatización, ACS y ventila'!J35</f>
        <v>299448.12</v>
      </c>
    </row>
    <row r="20" customFormat="false" ht="15" hidden="false" customHeight="false" outlineLevel="0" collapsed="false">
      <c r="A20" s="4" t="s">
        <v>39</v>
      </c>
      <c r="B20" s="5" t="s">
        <v>40</v>
      </c>
      <c r="C20" s="4" t="n">
        <v>19</v>
      </c>
      <c r="D20" s="4" t="n">
        <v>0</v>
      </c>
      <c r="E20" s="4" t="n">
        <v>0</v>
      </c>
      <c r="F20" s="4" t="n">
        <v>19</v>
      </c>
      <c r="G20" s="6" t="n">
        <f aca="false">'16 Piscina'!J24</f>
        <v>34929.443</v>
      </c>
    </row>
    <row r="21" customFormat="false" ht="15" hidden="false" customHeight="false" outlineLevel="0" collapsed="false">
      <c r="A21" s="4" t="s">
        <v>41</v>
      </c>
      <c r="B21" s="5" t="s">
        <v>42</v>
      </c>
      <c r="C21" s="4" t="n">
        <v>25</v>
      </c>
      <c r="D21" s="4" t="n">
        <v>0</v>
      </c>
      <c r="E21" s="4" t="n">
        <v>0</v>
      </c>
      <c r="F21" s="4" t="n">
        <v>25</v>
      </c>
      <c r="G21" s="6" t="n">
        <f aca="false">'17 Urbanización'!J30</f>
        <v>192743.3356</v>
      </c>
    </row>
    <row r="22" customFormat="false" ht="15" hidden="false" customHeight="false" outlineLevel="0" collapsed="false">
      <c r="A22" s="4" t="s">
        <v>43</v>
      </c>
      <c r="B22" s="5" t="s">
        <v>44</v>
      </c>
      <c r="C22" s="4" t="n">
        <v>1</v>
      </c>
      <c r="D22" s="4" t="n">
        <v>0</v>
      </c>
      <c r="E22" s="4" t="n">
        <v>0</v>
      </c>
      <c r="F22" s="4" t="n">
        <v>1</v>
      </c>
      <c r="G22" s="6" t="n">
        <f aca="false">'18 Seguridad y salud'!J6</f>
        <v>31714.16</v>
      </c>
    </row>
    <row r="23" customFormat="false" ht="15" hidden="false" customHeight="false" outlineLevel="0" collapsed="false">
      <c r="A23" s="4" t="s">
        <v>45</v>
      </c>
      <c r="B23" s="5" t="s">
        <v>46</v>
      </c>
      <c r="C23" s="4" t="n">
        <v>14</v>
      </c>
      <c r="D23" s="4" t="n">
        <v>3</v>
      </c>
      <c r="E23" s="4" t="n">
        <v>0</v>
      </c>
      <c r="F23" s="4" t="n">
        <v>11</v>
      </c>
      <c r="G23" s="6" t="n">
        <f aca="false">'19 Control de calidad'!J19</f>
        <v>50487.98</v>
      </c>
    </row>
    <row r="24" customFormat="false" ht="15" hidden="false" customHeight="false" outlineLevel="0" collapsed="false">
      <c r="A24" s="4" t="s">
        <v>47</v>
      </c>
      <c r="B24" s="5" t="s">
        <v>48</v>
      </c>
      <c r="C24" s="4" t="n">
        <v>8</v>
      </c>
      <c r="D24" s="4" t="n">
        <v>0</v>
      </c>
      <c r="E24" s="4" t="n">
        <v>0</v>
      </c>
      <c r="F24" s="4" t="n">
        <v>8</v>
      </c>
      <c r="G24" s="6" t="n">
        <f aca="false">'20 Gestión de residuos'!J13</f>
        <v>12112.75</v>
      </c>
    </row>
    <row r="25" s="7" customFormat="true" ht="15" hidden="false" customHeight="false" outlineLevel="0" collapsed="false">
      <c r="B25" s="7" t="s">
        <v>49</v>
      </c>
      <c r="C25" s="7" t="n">
        <f aca="false">SUM(C5:C24)</f>
        <v>309</v>
      </c>
      <c r="G25" s="8" t="n">
        <f aca="false">SUM(G5:G24)</f>
        <v>2915671.7139</v>
      </c>
    </row>
    <row r="27" customFormat="false" ht="15" hidden="false" customHeight="false" outlineLevel="0" collapsed="false">
      <c r="B27" s="9" t="s">
        <v>50</v>
      </c>
    </row>
    <row r="28" customFormat="false" ht="15" hidden="false" customHeight="false" outlineLevel="0" collapsed="false">
      <c r="B28" s="9" t="s">
        <v>51</v>
      </c>
    </row>
    <row r="30" customFormat="false" ht="30" hidden="false" customHeight="true" outlineLevel="0" collapsed="false">
      <c r="B30" s="10" t="s">
        <v>52</v>
      </c>
      <c r="C30" s="10"/>
      <c r="D30" s="10"/>
      <c r="E30" s="10"/>
      <c r="F30" s="10"/>
      <c r="G30" s="10"/>
    </row>
    <row r="31" customFormat="false" ht="30" hidden="false" customHeight="true" outlineLevel="0" collapsed="false">
      <c r="B31" s="10" t="s">
        <v>53</v>
      </c>
      <c r="C31" s="10"/>
      <c r="D31" s="10"/>
      <c r="E31" s="10"/>
      <c r="F31" s="10"/>
      <c r="G31" s="10"/>
    </row>
    <row r="32" customFormat="false" ht="30" hidden="false" customHeight="true" outlineLevel="0" collapsed="false">
      <c r="B32" s="10" t="s">
        <v>54</v>
      </c>
      <c r="C32" s="10"/>
      <c r="D32" s="10"/>
      <c r="E32" s="10"/>
      <c r="F32" s="10"/>
      <c r="G32" s="10"/>
    </row>
    <row r="33" customFormat="false" ht="30" hidden="false" customHeight="true" outlineLevel="0" collapsed="false">
      <c r="B33" s="10" t="s">
        <v>55</v>
      </c>
      <c r="C33" s="10"/>
      <c r="D33" s="10"/>
      <c r="E33" s="10"/>
      <c r="F33" s="10"/>
      <c r="G33" s="10"/>
    </row>
  </sheetData>
  <mergeCells count="4">
    <mergeCell ref="B30:G30"/>
    <mergeCell ref="B31:G31"/>
    <mergeCell ref="B32:G32"/>
    <mergeCell ref="B33:G33"/>
  </mergeCells>
  <hyperlinks>
    <hyperlink ref="B5" r:id="rId1" location="'01%20Actuaciones%20previas'!A1%23%23'01%20Actuaciones%20previas'!A1" display="Actuaciones previas"/>
    <hyperlink ref="B6" r:id="rId2" location="'02%20Movimiento%20de%20tierras'!A1%23%23'02%20Movimiento%20de%20tierras'!A1" display="Movimiento de tierras"/>
    <hyperlink ref="B7" r:id="rId3" location="'03%20Saneamiento%20enterrado'!A1%23%23'03%20Saneamiento%20enterrado'!A1" display="Saneamiento enterrado"/>
    <hyperlink ref="B8" r:id="rId4" location="'04%20Cimentación%20y%20estructura'!A1%23%23'04%20Cimentación%20y%20estructura'!A1" display="Cimentación y estructura"/>
    <hyperlink ref="B9" r:id="rId5" location="'05%20Cubiertas'!A1%23%23'05%20Cubiertas'!A1" display="Cubiertas"/>
    <hyperlink ref="B10" r:id="rId6" location="'06%20Albañilería'!A1%23%23'06%20Albañilería'!A1" display="Albañilería"/>
    <hyperlink ref="B11" r:id="rId7" location="'07%20Impermeabilización%20y%20aislami'!A1%23%23'07%20Impermeabilización%20y%20aislami'!A1" display="Impermeabilización y aislamiento"/>
    <hyperlink ref="B12" r:id="rId8" location="'08%20Pladur%20trasdosados,%20tabiques'!A1%23%23'08%20Pladur%20trasdosados,%20tabiques'!A1" display="Pladur: trasdosados, tabiques y techos"/>
    <hyperlink ref="B13" r:id="rId9" location="'09%20Alicatados%20y%20solados'!A1%23%23'09%20Alicatados%20y%20solados'!A1" display="Alicatados y solados"/>
    <hyperlink ref="B14" r:id="rId10" location="'10%20Carpintería%20interior'!A1%23%23'10%20Carpintería%20interior'!A1" display="Carpintería interior"/>
    <hyperlink ref="B15" r:id="rId11" location="'11%20Carpintería%20exterior%20y%20cerra'!A1%23%23'11%20Carpintería%20exterior%20y%20cerra'!A1" display="Carpintería exterior y cerrajería"/>
    <hyperlink ref="B16" r:id="rId12" location="'12%20Pintura'!A1%23%23'12%20Pintura'!A1" display="Pintura"/>
    <hyperlink ref="B17" r:id="rId13" location="'13%20Electricidad%20y%20telecomunicac'!A1%23%23'13%20Electricidad%20y%20telecomunicac'!A1" display="Electricidad y telecomunicaciones"/>
    <hyperlink ref="B18" r:id="rId14" location="'14%20Fontanería,%20saneamiento%20y%20sa'!A1%23%23'14%20Fontanería,%20saneamiento%20y%20sa'!A1" display="Fontanería, saneamiento y sanitarios"/>
    <hyperlink ref="B19" r:id="rId15" location="'15%20Climatización,%20ACS%20y%20ventila'!A1%23%23'15%20Climatización,%20ACS%20y%20ventila'!A1" display="Climatización, ACS y ventilación"/>
    <hyperlink ref="B20" r:id="rId16" location="'16%20Piscina'!A1%23%23'16%20Piscina'!A1" display="Piscina"/>
    <hyperlink ref="B21" r:id="rId17" location="'17%20Urbanización'!A1%23%23'17%20Urbanización'!A1" display="Urbanización"/>
    <hyperlink ref="B22" r:id="rId18" location="'18%20Seguridad%20y%20salud'!A1%23%23'18%20Seguridad%20y%20salud'!A1" display="Seguridad y salud"/>
    <hyperlink ref="B23" r:id="rId19" location="'19%20Control%20de%20calidad'!A1%23%23'19%20Control%20de%20calidad'!A1" display="Control de calidad"/>
    <hyperlink ref="B24" r:id="rId20" location="'20%20Gestión%20de%20residuos'!A1%23%23'20%20Gestión%20de%20residuos'!A1" display="Gestión de residuos"/>
    <hyperlink ref="B27" r:id="rId21" location="'Acero%20modular%2016%20viv.'!A1%23%23'Acero%20modular%2016%20viv.'!A1" display="Acero de los módulos (16 viviendas)"/>
    <hyperlink ref="B28" r:id="rId22" location="'Envolvente%20modular%2016%20viv.'!A1%23%23'Envolvente%20modular%2016%20viv.'!A1" display="Panel y envolvente de los módulos (16 vivienda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56</v>
      </c>
    </row>
    <row r="2" customFormat="false" ht="15" hidden="false" customHeight="false" outlineLevel="0" collapsed="false">
      <c r="A2" s="2" t="s">
        <v>57</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46.25" hidden="false" customHeight="false" outlineLevel="0" collapsed="false">
      <c r="A5" s="4" t="s">
        <v>69</v>
      </c>
      <c r="B5" s="11" t="s">
        <v>70</v>
      </c>
      <c r="C5" s="4" t="s">
        <v>71</v>
      </c>
      <c r="D5" s="12" t="n">
        <v>20</v>
      </c>
      <c r="E5" s="12" t="n">
        <f aca="false">D5/16</f>
        <v>1.25</v>
      </c>
      <c r="F5" s="4" t="s">
        <v>72</v>
      </c>
      <c r="G5" s="4"/>
      <c r="H5" s="4" t="s">
        <v>73</v>
      </c>
      <c r="I5" s="6" t="n">
        <v>53.41</v>
      </c>
      <c r="J5" s="6" t="n">
        <f aca="false">D5*I5</f>
        <v>1068.2</v>
      </c>
      <c r="K5" s="13" t="s">
        <v>74</v>
      </c>
    </row>
    <row r="6" customFormat="false" ht="46.25" hidden="false" customHeight="false" outlineLevel="0" collapsed="false">
      <c r="A6" s="4" t="s">
        <v>75</v>
      </c>
      <c r="B6" s="11" t="s">
        <v>76</v>
      </c>
      <c r="C6" s="4" t="s">
        <v>60</v>
      </c>
      <c r="D6" s="12" t="n">
        <v>4</v>
      </c>
      <c r="E6" s="12" t="n">
        <f aca="false">D6/16</f>
        <v>0.25</v>
      </c>
      <c r="F6" s="4" t="s">
        <v>77</v>
      </c>
      <c r="G6" s="4"/>
      <c r="H6" s="4" t="s">
        <v>78</v>
      </c>
      <c r="I6" s="6" t="n">
        <v>177.3</v>
      </c>
      <c r="J6" s="6" t="n">
        <f aca="false">D6*I6</f>
        <v>709.2</v>
      </c>
      <c r="K6" s="13" t="s">
        <v>74</v>
      </c>
    </row>
    <row r="7" customFormat="false" ht="46.25" hidden="false" customHeight="false" outlineLevel="0" collapsed="false">
      <c r="A7" s="4" t="s">
        <v>79</v>
      </c>
      <c r="B7" s="11" t="s">
        <v>80</v>
      </c>
      <c r="C7" s="4" t="s">
        <v>81</v>
      </c>
      <c r="D7" s="12" t="n">
        <v>12.43</v>
      </c>
      <c r="E7" s="12" t="n">
        <f aca="false">D7/16</f>
        <v>0.776875</v>
      </c>
      <c r="F7" s="4" t="s">
        <v>82</v>
      </c>
      <c r="G7" s="4"/>
      <c r="H7" s="4" t="s">
        <v>83</v>
      </c>
      <c r="I7" s="6" t="n">
        <v>40.32</v>
      </c>
      <c r="J7" s="6" t="n">
        <f aca="false">D7*I7</f>
        <v>501.1776</v>
      </c>
      <c r="K7" s="13" t="s">
        <v>74</v>
      </c>
    </row>
    <row r="8" customFormat="false" ht="46.25" hidden="false" customHeight="false" outlineLevel="0" collapsed="false">
      <c r="A8" s="4" t="s">
        <v>84</v>
      </c>
      <c r="B8" s="11" t="s">
        <v>85</v>
      </c>
      <c r="C8" s="4" t="s">
        <v>71</v>
      </c>
      <c r="D8" s="12" t="n">
        <v>447.95</v>
      </c>
      <c r="E8" s="12" t="n">
        <f aca="false">D8/16</f>
        <v>27.996875</v>
      </c>
      <c r="F8" s="4" t="s">
        <v>86</v>
      </c>
      <c r="G8" s="4"/>
      <c r="H8" s="4" t="s">
        <v>87</v>
      </c>
      <c r="I8" s="6" t="n">
        <v>7.75</v>
      </c>
      <c r="J8" s="6" t="n">
        <f aca="false">D8*I8</f>
        <v>3471.6125</v>
      </c>
      <c r="K8" s="13" t="s">
        <v>74</v>
      </c>
    </row>
    <row r="9" customFormat="false" ht="57.45" hidden="false" customHeight="false" outlineLevel="0" collapsed="false">
      <c r="A9" s="4" t="s">
        <v>88</v>
      </c>
      <c r="B9" s="11" t="s">
        <v>89</v>
      </c>
      <c r="C9" s="4" t="s">
        <v>71</v>
      </c>
      <c r="D9" s="12" t="n">
        <v>7328.36</v>
      </c>
      <c r="E9" s="12" t="n">
        <f aca="false">D9/16</f>
        <v>458.0225</v>
      </c>
      <c r="F9" s="4" t="s">
        <v>90</v>
      </c>
      <c r="G9" s="4"/>
      <c r="H9" s="4" t="s">
        <v>91</v>
      </c>
      <c r="I9" s="6" t="n">
        <v>2.77</v>
      </c>
      <c r="J9" s="6" t="n">
        <f aca="false">D9*I9</f>
        <v>20299.5572</v>
      </c>
      <c r="K9" s="13" t="s">
        <v>74</v>
      </c>
    </row>
    <row r="10" s="7" customFormat="true" ht="15" hidden="false" customHeight="false" outlineLevel="0" collapsed="false">
      <c r="B10" s="7" t="s">
        <v>92</v>
      </c>
      <c r="J10" s="8" t="n">
        <f aca="false">SUM(J5:J9)</f>
        <v>26049.7473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93</v>
      </c>
    </row>
    <row r="2" customFormat="false" ht="15" hidden="false" customHeight="false" outlineLevel="0" collapsed="false">
      <c r="A2" s="2" t="s">
        <v>94</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57.45" hidden="false" customHeight="false" outlineLevel="0" collapsed="false">
      <c r="A5" s="4" t="s">
        <v>95</v>
      </c>
      <c r="B5" s="11" t="s">
        <v>96</v>
      </c>
      <c r="C5" s="4" t="s">
        <v>81</v>
      </c>
      <c r="D5" s="12" t="n">
        <v>140</v>
      </c>
      <c r="E5" s="12" t="n">
        <f aca="false">D5/16</f>
        <v>8.75</v>
      </c>
      <c r="F5" s="4" t="s">
        <v>97</v>
      </c>
      <c r="G5" s="4"/>
      <c r="H5" s="4" t="s">
        <v>98</v>
      </c>
      <c r="I5" s="6" t="n">
        <v>2.36</v>
      </c>
      <c r="J5" s="6" t="n">
        <f aca="false">D5*I5</f>
        <v>330.4</v>
      </c>
      <c r="K5" s="13" t="s">
        <v>74</v>
      </c>
    </row>
    <row r="6" customFormat="false" ht="124.6" hidden="false" customHeight="false" outlineLevel="0" collapsed="false">
      <c r="A6" s="4" t="s">
        <v>99</v>
      </c>
      <c r="B6" s="11" t="s">
        <v>100</v>
      </c>
      <c r="C6" s="4" t="s">
        <v>81</v>
      </c>
      <c r="D6" s="12" t="n">
        <v>265.92</v>
      </c>
      <c r="E6" s="12" t="n">
        <f aca="false">D6/16</f>
        <v>16.62</v>
      </c>
      <c r="F6" s="4" t="s">
        <v>101</v>
      </c>
      <c r="G6" s="4"/>
      <c r="H6" s="4" t="s">
        <v>102</v>
      </c>
      <c r="I6" s="6" t="n">
        <v>11.1</v>
      </c>
      <c r="J6" s="6" t="n">
        <f aca="false">D6*I6</f>
        <v>2951.712</v>
      </c>
      <c r="K6" s="13" t="s">
        <v>74</v>
      </c>
    </row>
    <row r="7" customFormat="false" ht="628.35" hidden="false" customHeight="false" outlineLevel="0" collapsed="false">
      <c r="A7" s="4" t="s">
        <v>103</v>
      </c>
      <c r="B7" s="11" t="s">
        <v>104</v>
      </c>
      <c r="C7" s="4" t="s">
        <v>81</v>
      </c>
      <c r="D7" s="12" t="n">
        <v>194.3</v>
      </c>
      <c r="E7" s="12" t="n">
        <f aca="false">D7/16</f>
        <v>12.14375</v>
      </c>
      <c r="F7" s="4" t="s">
        <v>105</v>
      </c>
      <c r="G7" s="4"/>
      <c r="H7" s="4" t="s">
        <v>106</v>
      </c>
      <c r="I7" s="6" t="n">
        <v>9.56</v>
      </c>
      <c r="J7" s="6" t="n">
        <f aca="false">D7*I7</f>
        <v>1857.508</v>
      </c>
      <c r="K7" s="13" t="s">
        <v>74</v>
      </c>
    </row>
    <row r="8" customFormat="false" ht="292.5" hidden="false" customHeight="false" outlineLevel="0" collapsed="false">
      <c r="A8" s="4" t="s">
        <v>107</v>
      </c>
      <c r="B8" s="11" t="s">
        <v>108</v>
      </c>
      <c r="C8" s="4" t="s">
        <v>81</v>
      </c>
      <c r="D8" s="12" t="n">
        <v>233</v>
      </c>
      <c r="E8" s="12" t="n">
        <f aca="false">D8/16</f>
        <v>14.5625</v>
      </c>
      <c r="F8" s="4" t="s">
        <v>109</v>
      </c>
      <c r="G8" s="4"/>
      <c r="H8" s="4" t="s">
        <v>110</v>
      </c>
      <c r="I8" s="6" t="n">
        <v>12.01</v>
      </c>
      <c r="J8" s="6" t="n">
        <f aca="false">D8*I8</f>
        <v>2798.33</v>
      </c>
      <c r="K8" s="13" t="s">
        <v>74</v>
      </c>
    </row>
    <row r="9" customFormat="false" ht="57.45" hidden="false" customHeight="false" outlineLevel="0" collapsed="false">
      <c r="A9" s="4" t="s">
        <v>111</v>
      </c>
      <c r="B9" s="11" t="s">
        <v>112</v>
      </c>
      <c r="C9" s="4" t="s">
        <v>81</v>
      </c>
      <c r="D9" s="12" t="n">
        <v>7681.48</v>
      </c>
      <c r="E9" s="12" t="n">
        <f aca="false">D9/16</f>
        <v>480.0925</v>
      </c>
      <c r="F9" s="4" t="s">
        <v>113</v>
      </c>
      <c r="G9" s="4"/>
      <c r="H9" s="4" t="s">
        <v>114</v>
      </c>
      <c r="I9" s="6" t="n">
        <v>8.69</v>
      </c>
      <c r="J9" s="6" t="n">
        <f aca="false">D9*I9</f>
        <v>66752.0612</v>
      </c>
      <c r="K9" s="13" t="s">
        <v>74</v>
      </c>
    </row>
    <row r="10" s="7" customFormat="true" ht="15" hidden="false" customHeight="false" outlineLevel="0" collapsed="false">
      <c r="B10" s="7" t="s">
        <v>92</v>
      </c>
      <c r="J10" s="8" t="n">
        <f aca="false">SUM(J5:J9)</f>
        <v>74690.0112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115</v>
      </c>
    </row>
    <row r="2" customFormat="false" ht="15" hidden="false" customHeight="false" outlineLevel="0" collapsed="false">
      <c r="A2" s="2" t="s">
        <v>116</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236.55" hidden="false" customHeight="false" outlineLevel="0" collapsed="false">
      <c r="A5" s="4" t="s">
        <v>117</v>
      </c>
      <c r="B5" s="11" t="s">
        <v>118</v>
      </c>
      <c r="C5" s="4" t="s">
        <v>60</v>
      </c>
      <c r="D5" s="12" t="n">
        <v>33</v>
      </c>
      <c r="E5" s="12" t="n">
        <f aca="false">D5/16</f>
        <v>2.0625</v>
      </c>
      <c r="F5" s="4" t="s">
        <v>119</v>
      </c>
      <c r="G5" s="4" t="s">
        <v>120</v>
      </c>
      <c r="H5" s="4" t="s">
        <v>121</v>
      </c>
      <c r="I5" s="6" t="n">
        <v>699.92</v>
      </c>
      <c r="J5" s="6" t="n">
        <f aca="false">D5*I5</f>
        <v>23097.36</v>
      </c>
      <c r="K5" s="13" t="s">
        <v>74</v>
      </c>
    </row>
    <row r="6" customFormat="false" ht="46.25" hidden="false" customHeight="false" outlineLevel="0" collapsed="false">
      <c r="A6" s="4" t="s">
        <v>122</v>
      </c>
      <c r="B6" s="11" t="s">
        <v>123</v>
      </c>
      <c r="C6" s="4" t="s">
        <v>60</v>
      </c>
      <c r="D6" s="12" t="n">
        <v>33</v>
      </c>
      <c r="E6" s="12" t="n">
        <f aca="false">D6/16</f>
        <v>2.0625</v>
      </c>
      <c r="F6" s="4" t="s">
        <v>124</v>
      </c>
      <c r="G6" s="4"/>
      <c r="H6" s="4" t="s">
        <v>125</v>
      </c>
      <c r="I6" s="6" t="n">
        <v>148.82</v>
      </c>
      <c r="J6" s="6" t="n">
        <f aca="false">D6*I6</f>
        <v>4911.06</v>
      </c>
      <c r="K6" s="13" t="s">
        <v>74</v>
      </c>
    </row>
    <row r="7" customFormat="false" ht="393.25" hidden="false" customHeight="false" outlineLevel="0" collapsed="false">
      <c r="A7" s="4" t="s">
        <v>126</v>
      </c>
      <c r="B7" s="11" t="s">
        <v>127</v>
      </c>
      <c r="C7" s="4" t="s">
        <v>128</v>
      </c>
      <c r="D7" s="12" t="n">
        <v>181.15</v>
      </c>
      <c r="E7" s="12" t="n">
        <f aca="false">D7/16</f>
        <v>11.321875</v>
      </c>
      <c r="F7" s="4" t="s">
        <v>129</v>
      </c>
      <c r="G7" s="4"/>
      <c r="H7" s="4" t="s">
        <v>130</v>
      </c>
      <c r="I7" s="6" t="n">
        <v>82.99</v>
      </c>
      <c r="J7" s="6" t="n">
        <f aca="false">D7*I7</f>
        <v>15033.6385</v>
      </c>
      <c r="K7" s="13" t="s">
        <v>74</v>
      </c>
    </row>
    <row r="8" customFormat="false" ht="91" hidden="false" customHeight="false" outlineLevel="0" collapsed="false">
      <c r="A8" s="4" t="s">
        <v>131</v>
      </c>
      <c r="B8" s="11" t="s">
        <v>132</v>
      </c>
      <c r="C8" s="4" t="s">
        <v>60</v>
      </c>
      <c r="D8" s="12" t="n">
        <v>33</v>
      </c>
      <c r="E8" s="12" t="n">
        <f aca="false">D8/16</f>
        <v>2.0625</v>
      </c>
      <c r="F8" s="4" t="s">
        <v>133</v>
      </c>
      <c r="G8" s="4"/>
      <c r="H8" s="4" t="s">
        <v>134</v>
      </c>
      <c r="I8" s="6" t="n">
        <v>122.38</v>
      </c>
      <c r="J8" s="6" t="n">
        <f aca="false">D8*I8</f>
        <v>4038.54</v>
      </c>
      <c r="K8" s="13" t="s">
        <v>74</v>
      </c>
    </row>
    <row r="9" customFormat="false" ht="124.6" hidden="false" customHeight="false" outlineLevel="0" collapsed="false">
      <c r="A9" s="4" t="s">
        <v>135</v>
      </c>
      <c r="B9" s="11" t="s">
        <v>136</v>
      </c>
      <c r="C9" s="4" t="s">
        <v>60</v>
      </c>
      <c r="D9" s="12" t="n">
        <v>68</v>
      </c>
      <c r="E9" s="12" t="n">
        <f aca="false">D9/16</f>
        <v>4.25</v>
      </c>
      <c r="F9" s="4" t="s">
        <v>137</v>
      </c>
      <c r="G9" s="4" t="s">
        <v>138</v>
      </c>
      <c r="H9" s="4" t="s">
        <v>139</v>
      </c>
      <c r="I9" s="6" t="n">
        <v>124.39</v>
      </c>
      <c r="J9" s="6" t="n">
        <f aca="false">D9*I9</f>
        <v>8458.52</v>
      </c>
      <c r="K9" s="13" t="s">
        <v>74</v>
      </c>
    </row>
    <row r="10" customFormat="false" ht="102.2" hidden="false" customHeight="false" outlineLevel="0" collapsed="false">
      <c r="A10" s="4" t="s">
        <v>140</v>
      </c>
      <c r="B10" s="11" t="s">
        <v>141</v>
      </c>
      <c r="C10" s="4" t="s">
        <v>128</v>
      </c>
      <c r="D10" s="12" t="n">
        <v>124</v>
      </c>
      <c r="E10" s="12" t="n">
        <f aca="false">D10/16</f>
        <v>7.75</v>
      </c>
      <c r="F10" s="4" t="s">
        <v>142</v>
      </c>
      <c r="G10" s="4"/>
      <c r="H10" s="4" t="s">
        <v>143</v>
      </c>
      <c r="I10" s="6" t="n">
        <v>11.81</v>
      </c>
      <c r="J10" s="6" t="n">
        <f aca="false">D10*I10</f>
        <v>1464.44</v>
      </c>
      <c r="K10" s="13" t="s">
        <v>74</v>
      </c>
    </row>
    <row r="11" customFormat="false" ht="102.2" hidden="false" customHeight="false" outlineLevel="0" collapsed="false">
      <c r="A11" s="4" t="s">
        <v>144</v>
      </c>
      <c r="B11" s="11" t="s">
        <v>145</v>
      </c>
      <c r="C11" s="4" t="s">
        <v>128</v>
      </c>
      <c r="D11" s="12" t="n">
        <v>221.3</v>
      </c>
      <c r="E11" s="12" t="n">
        <f aca="false">D11/16</f>
        <v>13.83125</v>
      </c>
      <c r="F11" s="4" t="s">
        <v>146</v>
      </c>
      <c r="G11" s="4"/>
      <c r="H11" s="4" t="s">
        <v>147</v>
      </c>
      <c r="I11" s="6" t="n">
        <v>13.41</v>
      </c>
      <c r="J11" s="6" t="n">
        <f aca="false">D11*I11</f>
        <v>2967.633</v>
      </c>
      <c r="K11" s="13" t="s">
        <v>74</v>
      </c>
    </row>
    <row r="12" customFormat="false" ht="393.25" hidden="false" customHeight="false" outlineLevel="0" collapsed="false">
      <c r="A12" s="4" t="s">
        <v>148</v>
      </c>
      <c r="B12" s="11" t="s">
        <v>149</v>
      </c>
      <c r="C12" s="4" t="s">
        <v>128</v>
      </c>
      <c r="D12" s="12" t="n">
        <v>255.1</v>
      </c>
      <c r="E12" s="12" t="n">
        <f aca="false">D12/16</f>
        <v>15.94375</v>
      </c>
      <c r="F12" s="4" t="s">
        <v>150</v>
      </c>
      <c r="G12" s="4"/>
      <c r="H12" s="4" t="s">
        <v>151</v>
      </c>
      <c r="I12" s="6" t="n">
        <v>17.16</v>
      </c>
      <c r="J12" s="6" t="n">
        <f aca="false">D12*I12</f>
        <v>4377.516</v>
      </c>
      <c r="K12" s="13" t="s">
        <v>74</v>
      </c>
    </row>
    <row r="13" customFormat="false" ht="79.85" hidden="false" customHeight="false" outlineLevel="0" collapsed="false">
      <c r="A13" s="4" t="s">
        <v>152</v>
      </c>
      <c r="B13" s="11" t="s">
        <v>153</v>
      </c>
      <c r="C13" s="4" t="s">
        <v>128</v>
      </c>
      <c r="D13" s="12" t="n">
        <v>27.2</v>
      </c>
      <c r="E13" s="12" t="n">
        <f aca="false">D13/16</f>
        <v>1.7</v>
      </c>
      <c r="F13" s="4" t="s">
        <v>154</v>
      </c>
      <c r="G13" s="4"/>
      <c r="H13" s="4" t="s">
        <v>155</v>
      </c>
      <c r="I13" s="6" t="n">
        <v>17.53</v>
      </c>
      <c r="J13" s="6" t="n">
        <f aca="false">D13*I13</f>
        <v>476.816</v>
      </c>
      <c r="K13" s="14" t="s">
        <v>156</v>
      </c>
    </row>
    <row r="14" customFormat="false" ht="79.85" hidden="false" customHeight="false" outlineLevel="0" collapsed="false">
      <c r="A14" s="4" t="s">
        <v>157</v>
      </c>
      <c r="B14" s="11" t="s">
        <v>158</v>
      </c>
      <c r="C14" s="4" t="s">
        <v>128</v>
      </c>
      <c r="D14" s="12" t="n">
        <v>84.8</v>
      </c>
      <c r="E14" s="12" t="n">
        <f aca="false">D14/16</f>
        <v>5.3</v>
      </c>
      <c r="F14" s="4" t="s">
        <v>159</v>
      </c>
      <c r="G14" s="4"/>
      <c r="H14" s="4" t="s">
        <v>160</v>
      </c>
      <c r="I14" s="6" t="n">
        <v>27.09</v>
      </c>
      <c r="J14" s="6" t="n">
        <f aca="false">D14*I14</f>
        <v>2297.232</v>
      </c>
      <c r="K14" s="14" t="s">
        <v>156</v>
      </c>
    </row>
    <row r="15" customFormat="false" ht="79.85" hidden="false" customHeight="false" outlineLevel="0" collapsed="false">
      <c r="A15" s="4" t="s">
        <v>161</v>
      </c>
      <c r="B15" s="11" t="s">
        <v>162</v>
      </c>
      <c r="C15" s="4" t="s">
        <v>128</v>
      </c>
      <c r="D15" s="12" t="n">
        <v>408</v>
      </c>
      <c r="E15" s="12" t="n">
        <f aca="false">D15/16</f>
        <v>25.5</v>
      </c>
      <c r="F15" s="4" t="s">
        <v>163</v>
      </c>
      <c r="G15" s="4"/>
      <c r="H15" s="4" t="s">
        <v>164</v>
      </c>
      <c r="I15" s="6" t="n">
        <v>30.1</v>
      </c>
      <c r="J15" s="6" t="n">
        <f aca="false">D15*I15</f>
        <v>12280.8</v>
      </c>
      <c r="K15" s="14" t="s">
        <v>156</v>
      </c>
    </row>
    <row r="16" customFormat="false" ht="57.45" hidden="false" customHeight="false" outlineLevel="0" collapsed="false">
      <c r="A16" s="4" t="s">
        <v>165</v>
      </c>
      <c r="B16" s="11" t="s">
        <v>166</v>
      </c>
      <c r="C16" s="4" t="s">
        <v>128</v>
      </c>
      <c r="D16" s="12" t="n">
        <v>172</v>
      </c>
      <c r="E16" s="12" t="n">
        <f aca="false">D16/16</f>
        <v>10.75</v>
      </c>
      <c r="F16" s="4" t="s">
        <v>167</v>
      </c>
      <c r="G16" s="4"/>
      <c r="H16" s="4" t="s">
        <v>168</v>
      </c>
      <c r="I16" s="6" t="n">
        <v>31.02</v>
      </c>
      <c r="J16" s="6" t="n">
        <f aca="false">D16*I16</f>
        <v>5335.44</v>
      </c>
      <c r="K16" s="4" t="s">
        <v>169</v>
      </c>
    </row>
    <row r="17" customFormat="false" ht="57.45" hidden="false" customHeight="false" outlineLevel="0" collapsed="false">
      <c r="A17" s="4" t="s">
        <v>170</v>
      </c>
      <c r="B17" s="11" t="s">
        <v>171</v>
      </c>
      <c r="C17" s="4" t="s">
        <v>128</v>
      </c>
      <c r="D17" s="12" t="n">
        <v>163.2</v>
      </c>
      <c r="E17" s="12" t="n">
        <f aca="false">D17/16</f>
        <v>10.2</v>
      </c>
      <c r="F17" s="4" t="s">
        <v>172</v>
      </c>
      <c r="G17" s="4"/>
      <c r="H17" s="4" t="s">
        <v>173</v>
      </c>
      <c r="I17" s="6" t="n">
        <v>23.47</v>
      </c>
      <c r="J17" s="6" t="n">
        <f aca="false">D17*I17</f>
        <v>3830.304</v>
      </c>
      <c r="K17" s="4" t="s">
        <v>169</v>
      </c>
    </row>
    <row r="18" customFormat="false" ht="102.2" hidden="false" customHeight="false" outlineLevel="0" collapsed="false">
      <c r="A18" s="4" t="s">
        <v>174</v>
      </c>
      <c r="B18" s="11" t="s">
        <v>175</v>
      </c>
      <c r="C18" s="4" t="s">
        <v>128</v>
      </c>
      <c r="D18" s="12" t="n">
        <v>15</v>
      </c>
      <c r="E18" s="12" t="n">
        <f aca="false">D18/16</f>
        <v>0.9375</v>
      </c>
      <c r="F18" s="4" t="s">
        <v>176</v>
      </c>
      <c r="G18" s="4"/>
      <c r="H18" s="4" t="s">
        <v>177</v>
      </c>
      <c r="I18" s="6" t="n">
        <v>30.24</v>
      </c>
      <c r="J18" s="6" t="n">
        <f aca="false">D18*I18</f>
        <v>453.6</v>
      </c>
      <c r="K18" s="13" t="s">
        <v>74</v>
      </c>
    </row>
    <row r="19" customFormat="false" ht="68.65" hidden="false" customHeight="false" outlineLevel="0" collapsed="false">
      <c r="A19" s="4" t="s">
        <v>178</v>
      </c>
      <c r="B19" s="11" t="s">
        <v>179</v>
      </c>
      <c r="C19" s="4" t="s">
        <v>60</v>
      </c>
      <c r="D19" s="12" t="n">
        <v>82</v>
      </c>
      <c r="E19" s="12" t="n">
        <f aca="false">D19/16</f>
        <v>5.125</v>
      </c>
      <c r="F19" s="4" t="s">
        <v>180</v>
      </c>
      <c r="G19" s="4" t="s">
        <v>181</v>
      </c>
      <c r="H19" s="4" t="s">
        <v>182</v>
      </c>
      <c r="I19" s="6" t="n">
        <v>21.78</v>
      </c>
      <c r="J19" s="6" t="n">
        <f aca="false">D19*I19</f>
        <v>1785.96</v>
      </c>
      <c r="K19" s="13" t="s">
        <v>74</v>
      </c>
    </row>
    <row r="20" customFormat="false" ht="57.45" hidden="false" customHeight="false" outlineLevel="0" collapsed="false">
      <c r="A20" s="4" t="s">
        <v>183</v>
      </c>
      <c r="B20" s="11" t="s">
        <v>184</v>
      </c>
      <c r="C20" s="4" t="s">
        <v>60</v>
      </c>
      <c r="D20" s="12" t="n">
        <v>18</v>
      </c>
      <c r="E20" s="12" t="n">
        <f aca="false">D20/16</f>
        <v>1.125</v>
      </c>
      <c r="F20" s="4" t="s">
        <v>185</v>
      </c>
      <c r="G20" s="4" t="s">
        <v>186</v>
      </c>
      <c r="H20" s="4" t="s">
        <v>187</v>
      </c>
      <c r="I20" s="6" t="n">
        <v>10.02</v>
      </c>
      <c r="J20" s="6" t="n">
        <f aca="false">D20*I20</f>
        <v>180.36</v>
      </c>
      <c r="K20" s="13" t="s">
        <v>74</v>
      </c>
    </row>
    <row r="21" customFormat="false" ht="35.05" hidden="false" customHeight="false" outlineLevel="0" collapsed="false">
      <c r="A21" s="4" t="s">
        <v>188</v>
      </c>
      <c r="B21" s="11" t="s">
        <v>189</v>
      </c>
      <c r="C21" s="4" t="s">
        <v>60</v>
      </c>
      <c r="D21" s="12" t="n">
        <v>1</v>
      </c>
      <c r="E21" s="12" t="n">
        <f aca="false">D21/16</f>
        <v>0.0625</v>
      </c>
      <c r="F21" s="4" t="s">
        <v>190</v>
      </c>
      <c r="G21" s="4" t="s">
        <v>191</v>
      </c>
      <c r="H21" s="4" t="s">
        <v>192</v>
      </c>
      <c r="I21" s="6" t="n">
        <v>10.41</v>
      </c>
      <c r="J21" s="6" t="n">
        <f aca="false">D21*I21</f>
        <v>10.41</v>
      </c>
      <c r="K21" s="13" t="s">
        <v>74</v>
      </c>
    </row>
    <row r="22" customFormat="false" ht="91" hidden="false" customHeight="false" outlineLevel="0" collapsed="false">
      <c r="A22" s="4" t="s">
        <v>193</v>
      </c>
      <c r="B22" s="11" t="s">
        <v>194</v>
      </c>
      <c r="C22" s="4" t="s">
        <v>60</v>
      </c>
      <c r="D22" s="12" t="n">
        <v>53</v>
      </c>
      <c r="E22" s="12" t="n">
        <f aca="false">D22/16</f>
        <v>3.3125</v>
      </c>
      <c r="F22" s="4" t="s">
        <v>195</v>
      </c>
      <c r="G22" s="4" t="s">
        <v>196</v>
      </c>
      <c r="H22" s="4" t="s">
        <v>197</v>
      </c>
      <c r="I22" s="6" t="n">
        <v>17.83</v>
      </c>
      <c r="J22" s="6" t="n">
        <f aca="false">D22*I22</f>
        <v>944.99</v>
      </c>
      <c r="K22" s="13" t="s">
        <v>74</v>
      </c>
    </row>
    <row r="23" s="7" customFormat="true" ht="15" hidden="false" customHeight="false" outlineLevel="0" collapsed="false">
      <c r="B23" s="7" t="s">
        <v>92</v>
      </c>
      <c r="J23" s="8" t="n">
        <f aca="false">SUM(J5:J22)</f>
        <v>91944.6195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198</v>
      </c>
    </row>
    <row r="2" customFormat="false" ht="15" hidden="false" customHeight="false" outlineLevel="0" collapsed="false">
      <c r="A2" s="2" t="s">
        <v>199</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124.6" hidden="false" customHeight="false" outlineLevel="0" collapsed="false">
      <c r="A5" s="4" t="s">
        <v>200</v>
      </c>
      <c r="B5" s="11" t="s">
        <v>201</v>
      </c>
      <c r="C5" s="4" t="s">
        <v>81</v>
      </c>
      <c r="D5" s="12" t="n">
        <v>194.83</v>
      </c>
      <c r="E5" s="12" t="n">
        <f aca="false">D5/16</f>
        <v>12.176875</v>
      </c>
      <c r="F5" s="4" t="s">
        <v>202</v>
      </c>
      <c r="G5" s="4"/>
      <c r="H5" s="4" t="s">
        <v>203</v>
      </c>
      <c r="I5" s="6" t="n">
        <v>70.73</v>
      </c>
      <c r="J5" s="6" t="n">
        <f aca="false">D5*I5</f>
        <v>13780.3259</v>
      </c>
      <c r="K5" s="13" t="s">
        <v>74</v>
      </c>
    </row>
    <row r="6" customFormat="false" ht="717.9" hidden="false" customHeight="false" outlineLevel="0" collapsed="false">
      <c r="A6" s="4" t="s">
        <v>204</v>
      </c>
      <c r="B6" s="11" t="s">
        <v>205</v>
      </c>
      <c r="C6" s="4" t="s">
        <v>71</v>
      </c>
      <c r="D6" s="12" t="n">
        <v>1841.22</v>
      </c>
      <c r="E6" s="12" t="n">
        <f aca="false">D6/16</f>
        <v>115.07625</v>
      </c>
      <c r="F6" s="4" t="s">
        <v>206</v>
      </c>
      <c r="G6" s="4"/>
      <c r="H6" s="4" t="s">
        <v>207</v>
      </c>
      <c r="I6" s="6" t="n">
        <v>7.31</v>
      </c>
      <c r="J6" s="6" t="n">
        <f aca="false">D6*I6</f>
        <v>13459.3182</v>
      </c>
      <c r="K6" s="13" t="s">
        <v>74</v>
      </c>
    </row>
    <row r="7" customFormat="false" ht="124.6" hidden="false" customHeight="false" outlineLevel="0" collapsed="false">
      <c r="A7" s="4" t="s">
        <v>208</v>
      </c>
      <c r="B7" s="11" t="s">
        <v>209</v>
      </c>
      <c r="C7" s="4" t="s">
        <v>71</v>
      </c>
      <c r="D7" s="12" t="n">
        <v>771</v>
      </c>
      <c r="E7" s="12" t="n">
        <f aca="false">D7/16</f>
        <v>48.1875</v>
      </c>
      <c r="F7" s="4" t="s">
        <v>210</v>
      </c>
      <c r="G7" s="4"/>
      <c r="H7" s="4" t="s">
        <v>211</v>
      </c>
      <c r="I7" s="6" t="n">
        <v>13.83</v>
      </c>
      <c r="J7" s="6" t="n">
        <f aca="false">D7*I7</f>
        <v>10662.93</v>
      </c>
      <c r="K7" s="13" t="s">
        <v>74</v>
      </c>
    </row>
    <row r="8" customFormat="false" ht="158.2" hidden="false" customHeight="false" outlineLevel="0" collapsed="false">
      <c r="A8" s="4" t="s">
        <v>212</v>
      </c>
      <c r="B8" s="11" t="s">
        <v>213</v>
      </c>
      <c r="C8" s="4" t="s">
        <v>81</v>
      </c>
      <c r="D8" s="12" t="n">
        <v>110.07</v>
      </c>
      <c r="E8" s="12" t="n">
        <f aca="false">D8/16</f>
        <v>6.879375</v>
      </c>
      <c r="F8" s="4" t="s">
        <v>214</v>
      </c>
      <c r="G8" s="4"/>
      <c r="H8" s="4" t="s">
        <v>215</v>
      </c>
      <c r="I8" s="6" t="n">
        <v>142.04</v>
      </c>
      <c r="J8" s="6" t="n">
        <f aca="false">D8*I8</f>
        <v>15634.3428</v>
      </c>
      <c r="K8" s="13" t="s">
        <v>74</v>
      </c>
    </row>
    <row r="9" customFormat="false" ht="135.8" hidden="false" customHeight="false" outlineLevel="0" collapsed="false">
      <c r="A9" s="4" t="s">
        <v>216</v>
      </c>
      <c r="B9" s="11" t="s">
        <v>217</v>
      </c>
      <c r="C9" s="4" t="s">
        <v>81</v>
      </c>
      <c r="D9" s="12" t="n">
        <v>54.76</v>
      </c>
      <c r="E9" s="12" t="n">
        <f aca="false">D9/16</f>
        <v>3.4225</v>
      </c>
      <c r="F9" s="4" t="s">
        <v>218</v>
      </c>
      <c r="G9" s="4"/>
      <c r="H9" s="4" t="s">
        <v>219</v>
      </c>
      <c r="I9" s="6" t="n">
        <v>178.34</v>
      </c>
      <c r="J9" s="6" t="n">
        <f aca="false">D9*I9</f>
        <v>9765.8984</v>
      </c>
      <c r="K9" s="13" t="s">
        <v>74</v>
      </c>
    </row>
    <row r="10" customFormat="false" ht="516.4" hidden="false" customHeight="false" outlineLevel="0" collapsed="false">
      <c r="A10" s="4" t="s">
        <v>220</v>
      </c>
      <c r="B10" s="11" t="s">
        <v>221</v>
      </c>
      <c r="C10" s="4" t="s">
        <v>81</v>
      </c>
      <c r="D10" s="12" t="n">
        <v>139.54</v>
      </c>
      <c r="E10" s="12" t="n">
        <f aca="false">D10/16</f>
        <v>8.72125</v>
      </c>
      <c r="F10" s="4" t="s">
        <v>222</v>
      </c>
      <c r="G10" s="4"/>
      <c r="H10" s="4" t="s">
        <v>223</v>
      </c>
      <c r="I10" s="6" t="n">
        <v>178.34</v>
      </c>
      <c r="J10" s="6" t="n">
        <f aca="false">D10*I10</f>
        <v>24885.5636</v>
      </c>
      <c r="K10" s="13" t="s">
        <v>74</v>
      </c>
    </row>
    <row r="11" customFormat="false" ht="124.6" hidden="false" customHeight="false" outlineLevel="0" collapsed="false">
      <c r="A11" s="4" t="s">
        <v>224</v>
      </c>
      <c r="B11" s="11" t="s">
        <v>225</v>
      </c>
      <c r="C11" s="4" t="s">
        <v>71</v>
      </c>
      <c r="D11" s="12" t="n">
        <v>1207.85</v>
      </c>
      <c r="E11" s="12" t="n">
        <f aca="false">D11/16</f>
        <v>75.490625</v>
      </c>
      <c r="F11" s="4" t="s">
        <v>226</v>
      </c>
      <c r="G11" s="4" t="s">
        <v>227</v>
      </c>
      <c r="H11" s="4" t="s">
        <v>228</v>
      </c>
      <c r="I11" s="6" t="n">
        <v>39.45</v>
      </c>
      <c r="J11" s="6" t="n">
        <f aca="false">D11*I11</f>
        <v>47649.6825</v>
      </c>
      <c r="K11" s="14" t="s">
        <v>156</v>
      </c>
    </row>
    <row r="12" customFormat="false" ht="370.85" hidden="false" customHeight="false" outlineLevel="0" collapsed="false">
      <c r="A12" s="4" t="s">
        <v>229</v>
      </c>
      <c r="B12" s="11" t="s">
        <v>230</v>
      </c>
      <c r="C12" s="4" t="s">
        <v>71</v>
      </c>
      <c r="D12" s="12" t="n">
        <v>1285.15</v>
      </c>
      <c r="E12" s="12" t="n">
        <f aca="false">D12/16</f>
        <v>80.321875</v>
      </c>
      <c r="F12" s="4" t="s">
        <v>231</v>
      </c>
      <c r="G12" s="4"/>
      <c r="H12" s="4" t="s">
        <v>232</v>
      </c>
      <c r="I12" s="6" t="n">
        <v>83.78</v>
      </c>
      <c r="J12" s="6" t="n">
        <f aca="false">D12*I12</f>
        <v>107669.867</v>
      </c>
      <c r="K12" s="14" t="s">
        <v>156</v>
      </c>
    </row>
    <row r="13" customFormat="false" ht="370.85" hidden="false" customHeight="false" outlineLevel="0" collapsed="false">
      <c r="A13" s="4" t="s">
        <v>233</v>
      </c>
      <c r="B13" s="11" t="s">
        <v>234</v>
      </c>
      <c r="C13" s="4" t="s">
        <v>71</v>
      </c>
      <c r="D13" s="12" t="n">
        <v>1091.6</v>
      </c>
      <c r="E13" s="12" t="n">
        <f aca="false">D13/16</f>
        <v>68.225</v>
      </c>
      <c r="F13" s="4" t="s">
        <v>235</v>
      </c>
      <c r="G13" s="4"/>
      <c r="H13" s="4" t="s">
        <v>236</v>
      </c>
      <c r="I13" s="6" t="n">
        <v>85.14</v>
      </c>
      <c r="J13" s="6" t="n">
        <f aca="false">D13*I13</f>
        <v>92938.824</v>
      </c>
      <c r="K13" s="14" t="s">
        <v>156</v>
      </c>
    </row>
    <row r="14" customFormat="false" ht="113.4" hidden="false" customHeight="false" outlineLevel="0" collapsed="false">
      <c r="A14" s="4" t="s">
        <v>237</v>
      </c>
      <c r="B14" s="11" t="s">
        <v>238</v>
      </c>
      <c r="C14" s="4" t="s">
        <v>71</v>
      </c>
      <c r="D14" s="12" t="n">
        <v>112</v>
      </c>
      <c r="E14" s="12" t="n">
        <f aca="false">D14/16</f>
        <v>7</v>
      </c>
      <c r="F14" s="4" t="s">
        <v>239</v>
      </c>
      <c r="G14" s="4"/>
      <c r="H14" s="4" t="s">
        <v>240</v>
      </c>
      <c r="I14" s="6" t="n">
        <v>69.16</v>
      </c>
      <c r="J14" s="6" t="n">
        <f aca="false">D14*I14</f>
        <v>7745.92</v>
      </c>
      <c r="K14" s="14" t="s">
        <v>156</v>
      </c>
    </row>
    <row r="15" customFormat="false" ht="68.65" hidden="false" customHeight="false" outlineLevel="0" collapsed="false">
      <c r="A15" s="4" t="s">
        <v>241</v>
      </c>
      <c r="B15" s="11" t="s">
        <v>242</v>
      </c>
      <c r="C15" s="4" t="s">
        <v>81</v>
      </c>
      <c r="D15" s="12" t="n">
        <v>21</v>
      </c>
      <c r="E15" s="12" t="n">
        <f aca="false">D15/16</f>
        <v>1.3125</v>
      </c>
      <c r="F15" s="4" t="s">
        <v>243</v>
      </c>
      <c r="G15" s="4"/>
      <c r="H15" s="4" t="s">
        <v>244</v>
      </c>
      <c r="I15" s="6" t="n">
        <v>131.67</v>
      </c>
      <c r="J15" s="6" t="n">
        <f aca="false">D15*I15</f>
        <v>2765.07</v>
      </c>
      <c r="K15" s="13" t="s">
        <v>74</v>
      </c>
    </row>
    <row r="16" customFormat="false" ht="124.6" hidden="false" customHeight="false" outlineLevel="0" collapsed="false">
      <c r="A16" s="4" t="s">
        <v>245</v>
      </c>
      <c r="B16" s="11" t="s">
        <v>246</v>
      </c>
      <c r="C16" s="4" t="s">
        <v>71</v>
      </c>
      <c r="D16" s="12" t="n">
        <v>34.45</v>
      </c>
      <c r="E16" s="12" t="n">
        <f aca="false">D16/16</f>
        <v>2.153125</v>
      </c>
      <c r="F16" s="4" t="s">
        <v>247</v>
      </c>
      <c r="G16" s="4"/>
      <c r="H16" s="4" t="s">
        <v>248</v>
      </c>
      <c r="I16" s="6" t="n">
        <v>136.99</v>
      </c>
      <c r="J16" s="6" t="n">
        <f aca="false">D16*I16</f>
        <v>4719.3055</v>
      </c>
      <c r="K16" s="13" t="s">
        <v>74</v>
      </c>
    </row>
    <row r="17" customFormat="false" ht="292.5" hidden="false" customHeight="false" outlineLevel="0" collapsed="false">
      <c r="A17" s="4" t="s">
        <v>249</v>
      </c>
      <c r="B17" s="11" t="s">
        <v>250</v>
      </c>
      <c r="C17" s="4" t="s">
        <v>81</v>
      </c>
      <c r="D17" s="12" t="n">
        <v>12.95</v>
      </c>
      <c r="E17" s="12" t="n">
        <f aca="false">D17/16</f>
        <v>0.809375</v>
      </c>
      <c r="F17" s="4" t="s">
        <v>251</v>
      </c>
      <c r="G17" s="4"/>
      <c r="H17" s="4" t="s">
        <v>252</v>
      </c>
      <c r="I17" s="6" t="n">
        <v>334.8</v>
      </c>
      <c r="J17" s="6" t="n">
        <f aca="false">D17*I17</f>
        <v>4335.66</v>
      </c>
      <c r="K17" s="13" t="s">
        <v>74</v>
      </c>
    </row>
    <row r="18" customFormat="false" ht="79.85" hidden="false" customHeight="false" outlineLevel="0" collapsed="false">
      <c r="A18" s="4" t="s">
        <v>253</v>
      </c>
      <c r="B18" s="11" t="s">
        <v>254</v>
      </c>
      <c r="C18" s="4" t="s">
        <v>71</v>
      </c>
      <c r="D18" s="12" t="n">
        <v>559.45</v>
      </c>
      <c r="E18" s="12" t="n">
        <f aca="false">D18/16</f>
        <v>34.965625</v>
      </c>
      <c r="F18" s="4" t="s">
        <v>255</v>
      </c>
      <c r="G18" s="4" t="s">
        <v>256</v>
      </c>
      <c r="H18" s="4" t="s">
        <v>257</v>
      </c>
      <c r="I18" s="6" t="n">
        <v>26.81</v>
      </c>
      <c r="J18" s="6" t="n">
        <f aca="false">D18*I18</f>
        <v>14998.8545</v>
      </c>
      <c r="K18" s="13" t="s">
        <v>74</v>
      </c>
    </row>
    <row r="19" s="7" customFormat="true" ht="15" hidden="false" customHeight="false" outlineLevel="0" collapsed="false">
      <c r="B19" s="7" t="s">
        <v>92</v>
      </c>
      <c r="J19" s="8" t="n">
        <f aca="false">SUM(J5:J18)</f>
        <v>371011.5624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258</v>
      </c>
    </row>
    <row r="2" customFormat="false" ht="15" hidden="false" customHeight="false" outlineLevel="0" collapsed="false">
      <c r="A2" s="2" t="s">
        <v>259</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281.3" hidden="false" customHeight="false" outlineLevel="0" collapsed="false">
      <c r="A5" s="4" t="s">
        <v>260</v>
      </c>
      <c r="B5" s="11" t="s">
        <v>261</v>
      </c>
      <c r="C5" s="4" t="s">
        <v>71</v>
      </c>
      <c r="D5" s="12" t="n">
        <v>1195.45</v>
      </c>
      <c r="E5" s="12" t="n">
        <f aca="false">D5/16</f>
        <v>74.715625</v>
      </c>
      <c r="F5" s="4" t="s">
        <v>262</v>
      </c>
      <c r="G5" s="4" t="s">
        <v>263</v>
      </c>
      <c r="H5" s="4" t="s">
        <v>264</v>
      </c>
      <c r="I5" s="6" t="n">
        <v>88.8</v>
      </c>
      <c r="J5" s="6" t="n">
        <f aca="false">D5*I5</f>
        <v>106155.96</v>
      </c>
      <c r="K5" s="14" t="s">
        <v>156</v>
      </c>
    </row>
    <row r="6" customFormat="false" ht="292.5" hidden="false" customHeight="false" outlineLevel="0" collapsed="false">
      <c r="A6" s="4" t="s">
        <v>265</v>
      </c>
      <c r="B6" s="11" t="s">
        <v>266</v>
      </c>
      <c r="C6" s="4" t="s">
        <v>71</v>
      </c>
      <c r="D6" s="12" t="n">
        <v>143.1</v>
      </c>
      <c r="E6" s="12" t="n">
        <f aca="false">D6/16</f>
        <v>8.94375</v>
      </c>
      <c r="F6" s="4" t="s">
        <v>267</v>
      </c>
      <c r="G6" s="4" t="s">
        <v>268</v>
      </c>
      <c r="H6" s="4" t="s">
        <v>269</v>
      </c>
      <c r="I6" s="6" t="n">
        <v>97.54</v>
      </c>
      <c r="J6" s="6" t="n">
        <f aca="false">D6*I6</f>
        <v>13957.974</v>
      </c>
      <c r="K6" s="14" t="s">
        <v>156</v>
      </c>
    </row>
    <row r="7" customFormat="false" ht="236.55" hidden="false" customHeight="false" outlineLevel="0" collapsed="false">
      <c r="A7" s="4" t="s">
        <v>270</v>
      </c>
      <c r="B7" s="11" t="s">
        <v>266</v>
      </c>
      <c r="C7" s="4" t="s">
        <v>71</v>
      </c>
      <c r="D7" s="12" t="n">
        <v>21</v>
      </c>
      <c r="E7" s="12" t="n">
        <f aca="false">D7/16</f>
        <v>1.3125</v>
      </c>
      <c r="F7" s="4" t="s">
        <v>271</v>
      </c>
      <c r="G7" s="4" t="s">
        <v>272</v>
      </c>
      <c r="H7" s="4" t="s">
        <v>273</v>
      </c>
      <c r="I7" s="6" t="n">
        <v>81.52</v>
      </c>
      <c r="J7" s="6" t="n">
        <f aca="false">D7*I7</f>
        <v>1711.92</v>
      </c>
      <c r="K7" s="14" t="s">
        <v>156</v>
      </c>
    </row>
    <row r="8" s="7" customFormat="true" ht="15" hidden="false" customHeight="false" outlineLevel="0" collapsed="false">
      <c r="B8" s="7" t="s">
        <v>92</v>
      </c>
      <c r="J8" s="8" t="n">
        <f aca="false">SUM(J5:J7)</f>
        <v>121825.854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274</v>
      </c>
    </row>
    <row r="2" customFormat="false" ht="15" hidden="false" customHeight="false" outlineLevel="0" collapsed="false">
      <c r="A2" s="2" t="s">
        <v>275</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303.7" hidden="false" customHeight="false" outlineLevel="0" collapsed="false">
      <c r="A5" s="4" t="s">
        <v>276</v>
      </c>
      <c r="B5" s="11" t="s">
        <v>277</v>
      </c>
      <c r="C5" s="4" t="s">
        <v>71</v>
      </c>
      <c r="D5" s="12" t="n">
        <v>3070.32</v>
      </c>
      <c r="E5" s="12" t="n">
        <f aca="false">D5/16</f>
        <v>191.895</v>
      </c>
      <c r="F5" s="4" t="s">
        <v>278</v>
      </c>
      <c r="G5" s="4" t="s">
        <v>279</v>
      </c>
      <c r="H5" s="4" t="s">
        <v>280</v>
      </c>
      <c r="I5" s="6" t="n">
        <v>23.49</v>
      </c>
      <c r="J5" s="6" t="n">
        <f aca="false">D5*I5</f>
        <v>72121.8168</v>
      </c>
      <c r="K5" s="14" t="s">
        <v>156</v>
      </c>
    </row>
    <row r="6" customFormat="false" ht="113.4" hidden="false" customHeight="false" outlineLevel="0" collapsed="false">
      <c r="A6" s="4" t="s">
        <v>281</v>
      </c>
      <c r="B6" s="11" t="s">
        <v>282</v>
      </c>
      <c r="C6" s="4" t="s">
        <v>71</v>
      </c>
      <c r="D6" s="12" t="n">
        <v>306.38</v>
      </c>
      <c r="E6" s="12" t="n">
        <f aca="false">D6/16</f>
        <v>19.14875</v>
      </c>
      <c r="F6" s="4" t="s">
        <v>283</v>
      </c>
      <c r="G6" s="4" t="s">
        <v>279</v>
      </c>
      <c r="H6" s="4" t="s">
        <v>284</v>
      </c>
      <c r="I6" s="6" t="n">
        <v>34.06</v>
      </c>
      <c r="J6" s="6" t="n">
        <f aca="false">D6*I6</f>
        <v>10435.3028</v>
      </c>
      <c r="K6" s="14" t="s">
        <v>156</v>
      </c>
    </row>
    <row r="7" customFormat="false" ht="281.3" hidden="false" customHeight="false" outlineLevel="0" collapsed="false">
      <c r="A7" s="4" t="s">
        <v>285</v>
      </c>
      <c r="B7" s="11" t="s">
        <v>286</v>
      </c>
      <c r="C7" s="4" t="s">
        <v>128</v>
      </c>
      <c r="D7" s="12" t="n">
        <v>358</v>
      </c>
      <c r="E7" s="12" t="n">
        <f aca="false">D7/16</f>
        <v>22.375</v>
      </c>
      <c r="F7" s="4" t="s">
        <v>287</v>
      </c>
      <c r="G7" s="4"/>
      <c r="H7" s="4" t="s">
        <v>288</v>
      </c>
      <c r="I7" s="6" t="n">
        <v>15.55</v>
      </c>
      <c r="J7" s="6" t="n">
        <f aca="false">D7*I7</f>
        <v>5566.9</v>
      </c>
      <c r="K7" s="14" t="s">
        <v>156</v>
      </c>
    </row>
    <row r="8" customFormat="false" ht="583.55" hidden="false" customHeight="false" outlineLevel="0" collapsed="false">
      <c r="A8" s="4" t="s">
        <v>289</v>
      </c>
      <c r="B8" s="11" t="s">
        <v>290</v>
      </c>
      <c r="C8" s="4" t="s">
        <v>71</v>
      </c>
      <c r="D8" s="12" t="n">
        <v>3973.66</v>
      </c>
      <c r="E8" s="12" t="n">
        <f aca="false">D8/16</f>
        <v>248.35375</v>
      </c>
      <c r="F8" s="4" t="s">
        <v>291</v>
      </c>
      <c r="G8" s="4"/>
      <c r="H8" s="4" t="s">
        <v>292</v>
      </c>
      <c r="I8" s="6" t="n">
        <v>7.47</v>
      </c>
      <c r="J8" s="6" t="n">
        <f aca="false">D8*I8</f>
        <v>29683.2402</v>
      </c>
      <c r="K8" s="14" t="s">
        <v>156</v>
      </c>
    </row>
    <row r="9" customFormat="false" ht="874.6" hidden="false" customHeight="false" outlineLevel="0" collapsed="false">
      <c r="A9" s="4" t="s">
        <v>293</v>
      </c>
      <c r="B9" s="11" t="s">
        <v>294</v>
      </c>
      <c r="C9" s="4" t="s">
        <v>71</v>
      </c>
      <c r="D9" s="12" t="n">
        <v>3642.26</v>
      </c>
      <c r="E9" s="12" t="n">
        <f aca="false">D9/16</f>
        <v>227.64125</v>
      </c>
      <c r="F9" s="4" t="s">
        <v>295</v>
      </c>
      <c r="G9" s="4" t="s">
        <v>296</v>
      </c>
      <c r="H9" s="4" t="s">
        <v>297</v>
      </c>
      <c r="I9" s="6" t="n">
        <v>22.36</v>
      </c>
      <c r="J9" s="6" t="n">
        <f aca="false">D9*I9</f>
        <v>81440.9336</v>
      </c>
      <c r="K9" s="14" t="s">
        <v>156</v>
      </c>
    </row>
    <row r="10" customFormat="false" ht="35.05" hidden="false" customHeight="false" outlineLevel="0" collapsed="false">
      <c r="A10" s="4" t="s">
        <v>298</v>
      </c>
      <c r="B10" s="11" t="s">
        <v>299</v>
      </c>
      <c r="C10" s="4" t="s">
        <v>128</v>
      </c>
      <c r="D10" s="12" t="n">
        <v>336</v>
      </c>
      <c r="E10" s="12" t="n">
        <f aca="false">D10/16</f>
        <v>21</v>
      </c>
      <c r="F10" s="4" t="s">
        <v>300</v>
      </c>
      <c r="G10" s="4"/>
      <c r="H10" s="4" t="s">
        <v>301</v>
      </c>
      <c r="I10" s="6" t="n">
        <v>16.1</v>
      </c>
      <c r="J10" s="6" t="n">
        <f aca="false">D10*I10</f>
        <v>5409.6</v>
      </c>
      <c r="K10" s="14" t="s">
        <v>156</v>
      </c>
    </row>
    <row r="11" customFormat="false" ht="46.25" hidden="false" customHeight="false" outlineLevel="0" collapsed="false">
      <c r="A11" s="4" t="s">
        <v>302</v>
      </c>
      <c r="B11" s="11" t="s">
        <v>303</v>
      </c>
      <c r="C11" s="4" t="s">
        <v>60</v>
      </c>
      <c r="D11" s="12" t="n">
        <v>128</v>
      </c>
      <c r="E11" s="12" t="n">
        <f aca="false">D11/16</f>
        <v>8</v>
      </c>
      <c r="F11" s="4" t="s">
        <v>304</v>
      </c>
      <c r="G11" s="4"/>
      <c r="H11" s="4" t="s">
        <v>305</v>
      </c>
      <c r="I11" s="6" t="n">
        <v>4.26</v>
      </c>
      <c r="J11" s="6" t="n">
        <f aca="false">D11*I11</f>
        <v>545.28</v>
      </c>
      <c r="K11" s="14" t="s">
        <v>156</v>
      </c>
    </row>
    <row r="12" customFormat="false" ht="46.25" hidden="false" customHeight="false" outlineLevel="0" collapsed="false">
      <c r="A12" s="4" t="s">
        <v>306</v>
      </c>
      <c r="B12" s="11" t="s">
        <v>307</v>
      </c>
      <c r="C12" s="4" t="s">
        <v>60</v>
      </c>
      <c r="D12" s="12" t="n">
        <v>181</v>
      </c>
      <c r="E12" s="12" t="n">
        <f aca="false">D12/16</f>
        <v>11.3125</v>
      </c>
      <c r="F12" s="4" t="s">
        <v>308</v>
      </c>
      <c r="G12" s="4" t="s">
        <v>309</v>
      </c>
      <c r="H12" s="4" t="s">
        <v>310</v>
      </c>
      <c r="I12" s="6" t="n">
        <v>13.61</v>
      </c>
      <c r="J12" s="6" t="n">
        <f aca="false">D12*I12</f>
        <v>2463.41</v>
      </c>
      <c r="K12" s="14" t="s">
        <v>156</v>
      </c>
    </row>
    <row r="13" customFormat="false" ht="57.45" hidden="false" customHeight="false" outlineLevel="0" collapsed="false">
      <c r="A13" s="4" t="s">
        <v>311</v>
      </c>
      <c r="B13" s="11" t="s">
        <v>312</v>
      </c>
      <c r="C13" s="4" t="s">
        <v>60</v>
      </c>
      <c r="D13" s="12" t="n">
        <v>16</v>
      </c>
      <c r="E13" s="12" t="n">
        <f aca="false">D13/16</f>
        <v>1</v>
      </c>
      <c r="F13" s="4" t="s">
        <v>313</v>
      </c>
      <c r="G13" s="4"/>
      <c r="H13" s="4" t="s">
        <v>314</v>
      </c>
      <c r="I13" s="6" t="n">
        <v>380.06</v>
      </c>
      <c r="J13" s="6" t="n">
        <f aca="false">D13*I13</f>
        <v>6080.96</v>
      </c>
      <c r="K13" s="14" t="s">
        <v>156</v>
      </c>
    </row>
    <row r="14" customFormat="false" ht="46.25" hidden="false" customHeight="false" outlineLevel="0" collapsed="false">
      <c r="A14" s="4" t="s">
        <v>315</v>
      </c>
      <c r="B14" s="11" t="s">
        <v>316</v>
      </c>
      <c r="C14" s="4" t="s">
        <v>60</v>
      </c>
      <c r="D14" s="12" t="n">
        <v>16</v>
      </c>
      <c r="E14" s="12" t="n">
        <f aca="false">D14/16</f>
        <v>1</v>
      </c>
      <c r="F14" s="4" t="s">
        <v>317</v>
      </c>
      <c r="G14" s="4"/>
      <c r="H14" s="4" t="s">
        <v>318</v>
      </c>
      <c r="I14" s="6" t="n">
        <v>491.33</v>
      </c>
      <c r="J14" s="6" t="n">
        <f aca="false">D14*I14</f>
        <v>7861.28</v>
      </c>
      <c r="K14" s="14" t="s">
        <v>156</v>
      </c>
    </row>
    <row r="15" customFormat="false" ht="46.25" hidden="false" customHeight="false" outlineLevel="0" collapsed="false">
      <c r="A15" s="4" t="s">
        <v>319</v>
      </c>
      <c r="B15" s="11" t="s">
        <v>320</v>
      </c>
      <c r="C15" s="4" t="s">
        <v>60</v>
      </c>
      <c r="D15" s="12" t="n">
        <v>16</v>
      </c>
      <c r="E15" s="12" t="n">
        <f aca="false">D15/16</f>
        <v>1</v>
      </c>
      <c r="F15" s="4" t="s">
        <v>317</v>
      </c>
      <c r="G15" s="4"/>
      <c r="H15" s="4" t="s">
        <v>321</v>
      </c>
      <c r="I15" s="6" t="n">
        <v>491.33</v>
      </c>
      <c r="J15" s="6" t="n">
        <f aca="false">D15*I15</f>
        <v>7861.28</v>
      </c>
      <c r="K15" s="14" t="s">
        <v>156</v>
      </c>
    </row>
    <row r="16" customFormat="false" ht="46.25" hidden="false" customHeight="false" outlineLevel="0" collapsed="false">
      <c r="A16" s="4" t="s">
        <v>322</v>
      </c>
      <c r="B16" s="11" t="s">
        <v>323</v>
      </c>
      <c r="C16" s="4" t="s">
        <v>60</v>
      </c>
      <c r="D16" s="12" t="n">
        <v>16</v>
      </c>
      <c r="E16" s="12" t="n">
        <f aca="false">D16/16</f>
        <v>1</v>
      </c>
      <c r="F16" s="4" t="s">
        <v>317</v>
      </c>
      <c r="G16" s="4"/>
      <c r="H16" s="4" t="s">
        <v>324</v>
      </c>
      <c r="I16" s="6" t="n">
        <v>491.33</v>
      </c>
      <c r="J16" s="6" t="n">
        <f aca="false">D16*I16</f>
        <v>7861.28</v>
      </c>
      <c r="K16" s="14" t="s">
        <v>156</v>
      </c>
    </row>
    <row r="17" s="7" customFormat="true" ht="15" hidden="false" customHeight="false" outlineLevel="0" collapsed="false">
      <c r="B17" s="7" t="s">
        <v>92</v>
      </c>
      <c r="J17" s="8" t="n">
        <f aca="false">SUM(J5:J16)</f>
        <v>237331.2834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325</v>
      </c>
    </row>
    <row r="2" customFormat="false" ht="15" hidden="false" customHeight="false" outlineLevel="0" collapsed="false">
      <c r="A2" s="2" t="s">
        <v>326</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91" hidden="false" customHeight="false" outlineLevel="0" collapsed="false">
      <c r="A5" s="4" t="s">
        <v>327</v>
      </c>
      <c r="B5" s="11" t="s">
        <v>328</v>
      </c>
      <c r="C5" s="4" t="s">
        <v>128</v>
      </c>
      <c r="D5" s="12" t="n">
        <v>525.5</v>
      </c>
      <c r="E5" s="12" t="n">
        <f aca="false">D5/16</f>
        <v>32.84375</v>
      </c>
      <c r="F5" s="4" t="s">
        <v>329</v>
      </c>
      <c r="G5" s="4"/>
      <c r="H5" s="4" t="s">
        <v>330</v>
      </c>
      <c r="I5" s="6" t="n">
        <v>9.92</v>
      </c>
      <c r="J5" s="6" t="n">
        <f aca="false">D5*I5</f>
        <v>5212.96</v>
      </c>
      <c r="K5" s="13" t="s">
        <v>74</v>
      </c>
    </row>
    <row r="6" customFormat="false" ht="113.4" hidden="false" customHeight="false" outlineLevel="0" collapsed="false">
      <c r="A6" s="4" t="s">
        <v>331</v>
      </c>
      <c r="B6" s="11" t="s">
        <v>332</v>
      </c>
      <c r="C6" s="4" t="s">
        <v>60</v>
      </c>
      <c r="D6" s="12" t="n">
        <v>33</v>
      </c>
      <c r="E6" s="12" t="n">
        <f aca="false">D6/16</f>
        <v>2.0625</v>
      </c>
      <c r="F6" s="4" t="s">
        <v>333</v>
      </c>
      <c r="G6" s="4"/>
      <c r="H6" s="4" t="s">
        <v>334</v>
      </c>
      <c r="I6" s="6" t="n">
        <v>37.44</v>
      </c>
      <c r="J6" s="6" t="n">
        <f aca="false">D6*I6</f>
        <v>1235.52</v>
      </c>
      <c r="K6" s="14" t="s">
        <v>156</v>
      </c>
    </row>
    <row r="7" customFormat="false" ht="113.4" hidden="false" customHeight="false" outlineLevel="0" collapsed="false">
      <c r="A7" s="4" t="s">
        <v>335</v>
      </c>
      <c r="B7" s="11" t="s">
        <v>336</v>
      </c>
      <c r="C7" s="4" t="s">
        <v>60</v>
      </c>
      <c r="D7" s="12" t="n">
        <v>32</v>
      </c>
      <c r="E7" s="12" t="n">
        <f aca="false">D7/16</f>
        <v>2</v>
      </c>
      <c r="F7" s="4" t="s">
        <v>337</v>
      </c>
      <c r="G7" s="4"/>
      <c r="H7" s="4" t="s">
        <v>338</v>
      </c>
      <c r="I7" s="6" t="n">
        <v>34.83</v>
      </c>
      <c r="J7" s="6" t="n">
        <f aca="false">D7*I7</f>
        <v>1114.56</v>
      </c>
      <c r="K7" s="14" t="s">
        <v>156</v>
      </c>
    </row>
    <row r="8" customFormat="false" ht="91" hidden="false" customHeight="false" outlineLevel="0" collapsed="false">
      <c r="A8" s="4" t="s">
        <v>339</v>
      </c>
      <c r="B8" s="11" t="s">
        <v>340</v>
      </c>
      <c r="C8" s="4" t="s">
        <v>128</v>
      </c>
      <c r="D8" s="12" t="n">
        <v>467.15</v>
      </c>
      <c r="E8" s="12" t="n">
        <f aca="false">D8/16</f>
        <v>29.196875</v>
      </c>
      <c r="F8" s="4" t="s">
        <v>341</v>
      </c>
      <c r="G8" s="4"/>
      <c r="H8" s="4" t="s">
        <v>342</v>
      </c>
      <c r="I8" s="6" t="n">
        <v>11.92</v>
      </c>
      <c r="J8" s="6" t="n">
        <f aca="false">D8*I8</f>
        <v>5568.428</v>
      </c>
      <c r="K8" s="14" t="s">
        <v>156</v>
      </c>
    </row>
    <row r="9" customFormat="false" ht="102.2" hidden="false" customHeight="false" outlineLevel="0" collapsed="false">
      <c r="A9" s="4" t="s">
        <v>343</v>
      </c>
      <c r="B9" s="11" t="s">
        <v>344</v>
      </c>
      <c r="C9" s="4" t="s">
        <v>128</v>
      </c>
      <c r="D9" s="12" t="n">
        <v>226.95</v>
      </c>
      <c r="E9" s="12" t="n">
        <f aca="false">D9/16</f>
        <v>14.184375</v>
      </c>
      <c r="F9" s="4" t="s">
        <v>345</v>
      </c>
      <c r="G9" s="4"/>
      <c r="H9" s="4" t="s">
        <v>346</v>
      </c>
      <c r="I9" s="6" t="n">
        <v>11.92</v>
      </c>
      <c r="J9" s="6" t="n">
        <f aca="false">D9*I9</f>
        <v>2705.244</v>
      </c>
      <c r="K9" s="14" t="s">
        <v>156</v>
      </c>
    </row>
    <row r="10" customFormat="false" ht="135.8" hidden="false" customHeight="false" outlineLevel="0" collapsed="false">
      <c r="A10" s="4" t="s">
        <v>347</v>
      </c>
      <c r="B10" s="11" t="s">
        <v>348</v>
      </c>
      <c r="C10" s="4" t="s">
        <v>71</v>
      </c>
      <c r="D10" s="12" t="n">
        <v>64.4</v>
      </c>
      <c r="E10" s="12" t="n">
        <f aca="false">D10/16</f>
        <v>4.025</v>
      </c>
      <c r="F10" s="4" t="s">
        <v>349</v>
      </c>
      <c r="G10" s="4"/>
      <c r="H10" s="4" t="s">
        <v>350</v>
      </c>
      <c r="I10" s="6" t="n">
        <v>14.9</v>
      </c>
      <c r="J10" s="6" t="n">
        <f aca="false">D10*I10</f>
        <v>959.56</v>
      </c>
      <c r="K10" s="13" t="s">
        <v>74</v>
      </c>
    </row>
    <row r="11" customFormat="false" ht="169.4" hidden="false" customHeight="false" outlineLevel="0" collapsed="false">
      <c r="A11" s="4" t="s">
        <v>351</v>
      </c>
      <c r="B11" s="11" t="s">
        <v>352</v>
      </c>
      <c r="C11" s="4" t="s">
        <v>71</v>
      </c>
      <c r="D11" s="12" t="n">
        <v>367.65</v>
      </c>
      <c r="E11" s="12" t="n">
        <f aca="false">D11/16</f>
        <v>22.978125</v>
      </c>
      <c r="F11" s="4" t="s">
        <v>353</v>
      </c>
      <c r="G11" s="4" t="s">
        <v>272</v>
      </c>
      <c r="H11" s="4" t="s">
        <v>354</v>
      </c>
      <c r="I11" s="6" t="n">
        <v>24.94</v>
      </c>
      <c r="J11" s="6" t="n">
        <f aca="false">D11*I11</f>
        <v>9169.191</v>
      </c>
      <c r="K11" s="4" t="s">
        <v>169</v>
      </c>
    </row>
    <row r="12" customFormat="false" ht="147" hidden="false" customHeight="false" outlineLevel="0" collapsed="false">
      <c r="A12" s="4" t="s">
        <v>355</v>
      </c>
      <c r="B12" s="11" t="s">
        <v>356</v>
      </c>
      <c r="C12" s="4" t="s">
        <v>71</v>
      </c>
      <c r="D12" s="12" t="n">
        <v>696.4</v>
      </c>
      <c r="E12" s="12" t="n">
        <f aca="false">D12/16</f>
        <v>43.525</v>
      </c>
      <c r="F12" s="4" t="s">
        <v>357</v>
      </c>
      <c r="G12" s="4"/>
      <c r="H12" s="4" t="s">
        <v>358</v>
      </c>
      <c r="I12" s="6" t="n">
        <v>7.03</v>
      </c>
      <c r="J12" s="6" t="n">
        <f aca="false">D12*I12</f>
        <v>4895.692</v>
      </c>
      <c r="K12" s="14" t="s">
        <v>156</v>
      </c>
    </row>
    <row r="13" customFormat="false" ht="147" hidden="false" customHeight="false" outlineLevel="0" collapsed="false">
      <c r="A13" s="4" t="s">
        <v>359</v>
      </c>
      <c r="B13" s="11" t="s">
        <v>360</v>
      </c>
      <c r="C13" s="4" t="s">
        <v>71</v>
      </c>
      <c r="D13" s="12" t="n">
        <v>684</v>
      </c>
      <c r="E13" s="12" t="n">
        <f aca="false">D13/16</f>
        <v>42.75</v>
      </c>
      <c r="F13" s="4" t="s">
        <v>361</v>
      </c>
      <c r="G13" s="4"/>
      <c r="H13" s="4" t="s">
        <v>362</v>
      </c>
      <c r="I13" s="6" t="n">
        <v>8.6</v>
      </c>
      <c r="J13" s="6" t="n">
        <f aca="false">D13*I13</f>
        <v>5882.4</v>
      </c>
      <c r="K13" s="14" t="s">
        <v>156</v>
      </c>
    </row>
    <row r="14" customFormat="false" ht="348.5" hidden="false" customHeight="false" outlineLevel="0" collapsed="false">
      <c r="A14" s="4" t="s">
        <v>363</v>
      </c>
      <c r="B14" s="11" t="s">
        <v>364</v>
      </c>
      <c r="C14" s="4" t="s">
        <v>71</v>
      </c>
      <c r="D14" s="12" t="n">
        <v>1429.65</v>
      </c>
      <c r="E14" s="12" t="n">
        <f aca="false">D14/16</f>
        <v>89.353125</v>
      </c>
      <c r="F14" s="4" t="s">
        <v>365</v>
      </c>
      <c r="G14" s="4" t="s">
        <v>366</v>
      </c>
      <c r="H14" s="4" t="s">
        <v>367</v>
      </c>
      <c r="I14" s="6" t="n">
        <v>3.09</v>
      </c>
      <c r="J14" s="6" t="n">
        <f aca="false">D14*I14</f>
        <v>4417.6185</v>
      </c>
      <c r="K14" s="4" t="s">
        <v>169</v>
      </c>
    </row>
    <row r="15" customFormat="false" ht="113.4" hidden="false" customHeight="false" outlineLevel="0" collapsed="false">
      <c r="A15" s="4" t="s">
        <v>368</v>
      </c>
      <c r="B15" s="11" t="s">
        <v>369</v>
      </c>
      <c r="C15" s="4" t="s">
        <v>71</v>
      </c>
      <c r="D15" s="12" t="n">
        <v>1128.8</v>
      </c>
      <c r="E15" s="12" t="n">
        <f aca="false">D15/16</f>
        <v>70.55</v>
      </c>
      <c r="F15" s="4" t="s">
        <v>370</v>
      </c>
      <c r="G15" s="4" t="s">
        <v>371</v>
      </c>
      <c r="H15" s="4" t="s">
        <v>372</v>
      </c>
      <c r="I15" s="6" t="n">
        <v>12.25</v>
      </c>
      <c r="J15" s="6" t="n">
        <f aca="false">D15*I15</f>
        <v>13827.8</v>
      </c>
      <c r="K15" s="13" t="s">
        <v>74</v>
      </c>
    </row>
    <row r="16" customFormat="false" ht="57.45" hidden="false" customHeight="false" outlineLevel="0" collapsed="false">
      <c r="A16" s="4" t="s">
        <v>373</v>
      </c>
      <c r="B16" s="11" t="s">
        <v>374</v>
      </c>
      <c r="C16" s="4" t="s">
        <v>71</v>
      </c>
      <c r="D16" s="12" t="n">
        <v>156</v>
      </c>
      <c r="E16" s="12" t="n">
        <f aca="false">D16/16</f>
        <v>9.75</v>
      </c>
      <c r="F16" s="4" t="s">
        <v>375</v>
      </c>
      <c r="G16" s="4"/>
      <c r="H16" s="4" t="s">
        <v>376</v>
      </c>
      <c r="I16" s="6" t="n">
        <v>12.22</v>
      </c>
      <c r="J16" s="6" t="n">
        <f aca="false">D16*I16</f>
        <v>1906.32</v>
      </c>
      <c r="K16" s="14" t="s">
        <v>156</v>
      </c>
    </row>
    <row r="17" customFormat="false" ht="68.65" hidden="false" customHeight="false" outlineLevel="0" collapsed="false">
      <c r="A17" s="4" t="s">
        <v>377</v>
      </c>
      <c r="B17" s="11" t="s">
        <v>378</v>
      </c>
      <c r="C17" s="4" t="s">
        <v>71</v>
      </c>
      <c r="D17" s="12" t="n">
        <v>1128.8</v>
      </c>
      <c r="E17" s="12" t="n">
        <f aca="false">D17/16</f>
        <v>70.55</v>
      </c>
      <c r="F17" s="4" t="s">
        <v>370</v>
      </c>
      <c r="G17" s="4"/>
      <c r="H17" s="4" t="s">
        <v>379</v>
      </c>
      <c r="I17" s="6" t="n">
        <v>12.49</v>
      </c>
      <c r="J17" s="6" t="n">
        <f aca="false">D17*I17</f>
        <v>14098.712</v>
      </c>
      <c r="K17" s="14" t="s">
        <v>156</v>
      </c>
    </row>
    <row r="18" customFormat="false" ht="236.55" hidden="false" customHeight="false" outlineLevel="0" collapsed="false">
      <c r="A18" s="4" t="s">
        <v>380</v>
      </c>
      <c r="B18" s="11" t="s">
        <v>381</v>
      </c>
      <c r="C18" s="4" t="s">
        <v>71</v>
      </c>
      <c r="D18" s="12" t="n">
        <v>2664.64</v>
      </c>
      <c r="E18" s="12" t="n">
        <f aca="false">D18/16</f>
        <v>166.54</v>
      </c>
      <c r="F18" s="4" t="s">
        <v>382</v>
      </c>
      <c r="G18" s="4"/>
      <c r="H18" s="4" t="s">
        <v>383</v>
      </c>
      <c r="I18" s="6" t="n">
        <v>14.8</v>
      </c>
      <c r="J18" s="6" t="n">
        <f aca="false">D18*I18</f>
        <v>39436.672</v>
      </c>
      <c r="K18" s="14" t="s">
        <v>156</v>
      </c>
    </row>
    <row r="19" customFormat="false" ht="102.2" hidden="false" customHeight="false" outlineLevel="0" collapsed="false">
      <c r="A19" s="4" t="s">
        <v>384</v>
      </c>
      <c r="B19" s="11" t="s">
        <v>385</v>
      </c>
      <c r="C19" s="4" t="s">
        <v>71</v>
      </c>
      <c r="D19" s="12" t="n">
        <v>1211.55</v>
      </c>
      <c r="E19" s="12" t="n">
        <f aca="false">D19/16</f>
        <v>75.721875</v>
      </c>
      <c r="F19" s="4" t="s">
        <v>386</v>
      </c>
      <c r="G19" s="4"/>
      <c r="H19" s="4" t="s">
        <v>387</v>
      </c>
      <c r="I19" s="6" t="n">
        <v>14.8</v>
      </c>
      <c r="J19" s="6" t="n">
        <f aca="false">D19*I19</f>
        <v>17930.94</v>
      </c>
      <c r="K19" s="14" t="s">
        <v>156</v>
      </c>
    </row>
    <row r="20" s="7" customFormat="true" ht="15" hidden="false" customHeight="false" outlineLevel="0" collapsed="false">
      <c r="B20" s="7" t="s">
        <v>92</v>
      </c>
      <c r="J20" s="8" t="n">
        <f aca="false">SUM(J5:J19)</f>
        <v>128361.6175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388</v>
      </c>
    </row>
    <row r="2" customFormat="false" ht="15" hidden="false" customHeight="false" outlineLevel="0" collapsed="false">
      <c r="A2" s="2" t="s">
        <v>389</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236.55" hidden="false" customHeight="false" outlineLevel="0" collapsed="false">
      <c r="A5" s="4" t="s">
        <v>390</v>
      </c>
      <c r="B5" s="11" t="s">
        <v>391</v>
      </c>
      <c r="C5" s="4" t="s">
        <v>71</v>
      </c>
      <c r="D5" s="12" t="n">
        <v>3106.87</v>
      </c>
      <c r="E5" s="12" t="n">
        <f aca="false">D5/16</f>
        <v>194.179375</v>
      </c>
      <c r="F5" s="4" t="s">
        <v>392</v>
      </c>
      <c r="G5" s="4"/>
      <c r="H5" s="4" t="s">
        <v>393</v>
      </c>
      <c r="I5" s="6" t="n">
        <v>31.85</v>
      </c>
      <c r="J5" s="6" t="n">
        <f aca="false">D5*I5</f>
        <v>98953.8095</v>
      </c>
      <c r="K5" s="14" t="s">
        <v>156</v>
      </c>
    </row>
    <row r="6" customFormat="false" ht="124.6" hidden="false" customHeight="false" outlineLevel="0" collapsed="false">
      <c r="A6" s="4" t="s">
        <v>394</v>
      </c>
      <c r="B6" s="11" t="s">
        <v>395</v>
      </c>
      <c r="C6" s="4" t="s">
        <v>71</v>
      </c>
      <c r="D6" s="12" t="n">
        <v>2089.54</v>
      </c>
      <c r="E6" s="12" t="n">
        <f aca="false">D6/16</f>
        <v>130.59625</v>
      </c>
      <c r="F6" s="4" t="s">
        <v>396</v>
      </c>
      <c r="G6" s="4" t="s">
        <v>397</v>
      </c>
      <c r="H6" s="4" t="s">
        <v>398</v>
      </c>
      <c r="I6" s="6" t="n">
        <v>29.94</v>
      </c>
      <c r="J6" s="6" t="n">
        <f aca="false">D6*I6</f>
        <v>62560.8276</v>
      </c>
      <c r="K6" s="4" t="s">
        <v>169</v>
      </c>
    </row>
    <row r="7" customFormat="false" ht="158.2" hidden="false" customHeight="false" outlineLevel="0" collapsed="false">
      <c r="A7" s="4" t="s">
        <v>399</v>
      </c>
      <c r="B7" s="11" t="s">
        <v>400</v>
      </c>
      <c r="C7" s="4" t="s">
        <v>71</v>
      </c>
      <c r="D7" s="12" t="n">
        <v>359.2</v>
      </c>
      <c r="E7" s="12" t="n">
        <f aca="false">D7/16</f>
        <v>22.45</v>
      </c>
      <c r="F7" s="4" t="s">
        <v>401</v>
      </c>
      <c r="G7" s="4" t="s">
        <v>397</v>
      </c>
      <c r="H7" s="4" t="s">
        <v>402</v>
      </c>
      <c r="I7" s="6" t="n">
        <v>31.34</v>
      </c>
      <c r="J7" s="6" t="n">
        <f aca="false">D7*I7</f>
        <v>11257.328</v>
      </c>
      <c r="K7" s="4" t="s">
        <v>169</v>
      </c>
    </row>
    <row r="8" customFormat="false" ht="147" hidden="false" customHeight="false" outlineLevel="0" collapsed="false">
      <c r="A8" s="4" t="s">
        <v>403</v>
      </c>
      <c r="B8" s="11" t="s">
        <v>404</v>
      </c>
      <c r="C8" s="4" t="s">
        <v>71</v>
      </c>
      <c r="D8" s="12" t="n">
        <v>202.55</v>
      </c>
      <c r="E8" s="12" t="n">
        <f aca="false">D8/16</f>
        <v>12.659375</v>
      </c>
      <c r="F8" s="4" t="s">
        <v>405</v>
      </c>
      <c r="G8" s="4"/>
      <c r="H8" s="4"/>
      <c r="I8" s="6" t="n">
        <v>8.2</v>
      </c>
      <c r="J8" s="6" t="n">
        <f aca="false">D8*I8</f>
        <v>1660.91</v>
      </c>
      <c r="K8" s="4" t="s">
        <v>169</v>
      </c>
    </row>
    <row r="9" customFormat="false" ht="370.85" hidden="false" customHeight="false" outlineLevel="0" collapsed="false">
      <c r="A9" s="4" t="s">
        <v>406</v>
      </c>
      <c r="B9" s="11" t="s">
        <v>407</v>
      </c>
      <c r="C9" s="4" t="s">
        <v>71</v>
      </c>
      <c r="D9" s="12" t="n">
        <v>1504.05</v>
      </c>
      <c r="E9" s="12" t="n">
        <f aca="false">D9/16</f>
        <v>94.003125</v>
      </c>
      <c r="F9" s="4" t="s">
        <v>408</v>
      </c>
      <c r="G9" s="4" t="s">
        <v>397</v>
      </c>
      <c r="H9" s="4" t="s">
        <v>409</v>
      </c>
      <c r="I9" s="6" t="n">
        <v>27.74</v>
      </c>
      <c r="J9" s="6" t="n">
        <f aca="false">D9*I9</f>
        <v>41722.347</v>
      </c>
      <c r="K9" s="4" t="s">
        <v>169</v>
      </c>
    </row>
    <row r="10" customFormat="false" ht="270.1" hidden="false" customHeight="false" outlineLevel="0" collapsed="false">
      <c r="A10" s="4" t="s">
        <v>410</v>
      </c>
      <c r="B10" s="11" t="s">
        <v>411</v>
      </c>
      <c r="C10" s="4" t="s">
        <v>71</v>
      </c>
      <c r="D10" s="12" t="n">
        <v>432.7</v>
      </c>
      <c r="E10" s="12" t="n">
        <f aca="false">D10/16</f>
        <v>27.04375</v>
      </c>
      <c r="F10" s="4" t="s">
        <v>412</v>
      </c>
      <c r="G10" s="4" t="s">
        <v>397</v>
      </c>
      <c r="H10" s="4" t="s">
        <v>413</v>
      </c>
      <c r="I10" s="6" t="n">
        <v>31.01</v>
      </c>
      <c r="J10" s="6" t="n">
        <f aca="false">D10*I10</f>
        <v>13418.027</v>
      </c>
      <c r="K10" s="4" t="s">
        <v>169</v>
      </c>
    </row>
    <row r="11" customFormat="false" ht="147" hidden="false" customHeight="false" outlineLevel="0" collapsed="false">
      <c r="A11" s="4" t="s">
        <v>414</v>
      </c>
      <c r="B11" s="11" t="s">
        <v>415</v>
      </c>
      <c r="C11" s="4" t="s">
        <v>128</v>
      </c>
      <c r="D11" s="12" t="n">
        <v>116.5</v>
      </c>
      <c r="E11" s="12" t="n">
        <f aca="false">D11/16</f>
        <v>7.28125</v>
      </c>
      <c r="F11" s="4" t="s">
        <v>416</v>
      </c>
      <c r="G11" s="4" t="s">
        <v>397</v>
      </c>
      <c r="H11" s="4" t="s">
        <v>417</v>
      </c>
      <c r="I11" s="6" t="n">
        <v>20.41</v>
      </c>
      <c r="J11" s="6" t="n">
        <f aca="false">D11*I11</f>
        <v>2377.765</v>
      </c>
      <c r="K11" s="4" t="s">
        <v>169</v>
      </c>
    </row>
    <row r="12" customFormat="false" ht="135.8" hidden="false" customHeight="false" outlineLevel="0" collapsed="false">
      <c r="A12" s="4" t="s">
        <v>418</v>
      </c>
      <c r="B12" s="11" t="s">
        <v>419</v>
      </c>
      <c r="C12" s="4" t="s">
        <v>71</v>
      </c>
      <c r="D12" s="12" t="n">
        <v>156</v>
      </c>
      <c r="E12" s="12" t="n">
        <f aca="false">D12/16</f>
        <v>9.75</v>
      </c>
      <c r="F12" s="4" t="s">
        <v>420</v>
      </c>
      <c r="G12" s="4" t="s">
        <v>397</v>
      </c>
      <c r="H12" s="4" t="s">
        <v>421</v>
      </c>
      <c r="I12" s="6" t="n">
        <v>101.73</v>
      </c>
      <c r="J12" s="6" t="n">
        <f aca="false">D12*I12</f>
        <v>15869.88</v>
      </c>
      <c r="K12" s="4" t="s">
        <v>169</v>
      </c>
    </row>
    <row r="13" customFormat="false" ht="35.05" hidden="false" customHeight="false" outlineLevel="0" collapsed="false">
      <c r="A13" s="4" t="s">
        <v>422</v>
      </c>
      <c r="B13" s="11" t="s">
        <v>423</v>
      </c>
      <c r="C13" s="4" t="s">
        <v>71</v>
      </c>
      <c r="D13" s="12" t="n">
        <v>34.56</v>
      </c>
      <c r="E13" s="12" t="n">
        <f aca="false">D13/16</f>
        <v>2.16</v>
      </c>
      <c r="F13" s="4" t="s">
        <v>424</v>
      </c>
      <c r="G13" s="4" t="s">
        <v>425</v>
      </c>
      <c r="H13" s="4" t="s">
        <v>426</v>
      </c>
      <c r="I13" s="6" t="n">
        <v>77.61</v>
      </c>
      <c r="J13" s="6" t="n">
        <f aca="false">D13*I13</f>
        <v>2682.2016</v>
      </c>
      <c r="K13" s="4" t="s">
        <v>169</v>
      </c>
    </row>
    <row r="14" s="7" customFormat="true" ht="15" hidden="false" customHeight="false" outlineLevel="0" collapsed="false">
      <c r="B14" s="7" t="s">
        <v>92</v>
      </c>
      <c r="J14" s="8" t="n">
        <f aca="false">SUM(J5:J13)</f>
        <v>250503.0957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427</v>
      </c>
    </row>
    <row r="2" customFormat="false" ht="15" hidden="false" customHeight="false" outlineLevel="0" collapsed="false">
      <c r="A2" s="2" t="s">
        <v>428</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202.95" hidden="false" customHeight="false" outlineLevel="0" collapsed="false">
      <c r="A5" s="4" t="s">
        <v>429</v>
      </c>
      <c r="B5" s="11" t="s">
        <v>430</v>
      </c>
      <c r="C5" s="4" t="s">
        <v>71</v>
      </c>
      <c r="D5" s="12" t="n">
        <v>1416.19</v>
      </c>
      <c r="E5" s="12" t="n">
        <f aca="false">D5/16</f>
        <v>88.511875</v>
      </c>
      <c r="F5" s="4" t="s">
        <v>431</v>
      </c>
      <c r="G5" s="4" t="s">
        <v>272</v>
      </c>
      <c r="H5" s="4" t="s">
        <v>432</v>
      </c>
      <c r="I5" s="6" t="n">
        <v>26.61</v>
      </c>
      <c r="J5" s="6" t="n">
        <f aca="false">D5*I5</f>
        <v>37684.8159</v>
      </c>
      <c r="K5" s="4" t="s">
        <v>169</v>
      </c>
    </row>
    <row r="6" customFormat="false" ht="337.3" hidden="false" customHeight="false" outlineLevel="0" collapsed="false">
      <c r="A6" s="4" t="s">
        <v>433</v>
      </c>
      <c r="B6" s="11" t="s">
        <v>434</v>
      </c>
      <c r="C6" s="4" t="s">
        <v>71</v>
      </c>
      <c r="D6" s="12" t="n">
        <v>1429.65</v>
      </c>
      <c r="E6" s="12" t="n">
        <f aca="false">D6/16</f>
        <v>89.353125</v>
      </c>
      <c r="F6" s="4" t="s">
        <v>435</v>
      </c>
      <c r="G6" s="4" t="s">
        <v>436</v>
      </c>
      <c r="H6" s="4" t="s">
        <v>437</v>
      </c>
      <c r="I6" s="6" t="n">
        <v>36.32</v>
      </c>
      <c r="J6" s="6" t="n">
        <f aca="false">D6*I6</f>
        <v>51924.888</v>
      </c>
      <c r="K6" s="4" t="s">
        <v>169</v>
      </c>
    </row>
    <row r="7" customFormat="false" ht="68.65" hidden="false" customHeight="false" outlineLevel="0" collapsed="false">
      <c r="A7" s="4" t="s">
        <v>438</v>
      </c>
      <c r="B7" s="11" t="s">
        <v>439</v>
      </c>
      <c r="C7" s="4" t="s">
        <v>128</v>
      </c>
      <c r="D7" s="12" t="n">
        <v>26.4</v>
      </c>
      <c r="E7" s="12" t="n">
        <f aca="false">D7/16</f>
        <v>1.65</v>
      </c>
      <c r="F7" s="4" t="s">
        <v>440</v>
      </c>
      <c r="G7" s="4"/>
      <c r="H7" s="4" t="s">
        <v>441</v>
      </c>
      <c r="I7" s="6" t="n">
        <v>47.92</v>
      </c>
      <c r="J7" s="6" t="n">
        <f aca="false">D7*I7</f>
        <v>1265.088</v>
      </c>
      <c r="K7" s="4" t="s">
        <v>169</v>
      </c>
    </row>
    <row r="8" customFormat="false" ht="57.45" hidden="false" customHeight="false" outlineLevel="0" collapsed="false">
      <c r="A8" s="4" t="s">
        <v>442</v>
      </c>
      <c r="B8" s="11" t="s">
        <v>443</v>
      </c>
      <c r="C8" s="4" t="s">
        <v>128</v>
      </c>
      <c r="D8" s="12" t="n">
        <v>60.8</v>
      </c>
      <c r="E8" s="12" t="n">
        <f aca="false">D8/16</f>
        <v>3.8</v>
      </c>
      <c r="F8" s="4" t="s">
        <v>444</v>
      </c>
      <c r="G8" s="4" t="s">
        <v>445</v>
      </c>
      <c r="H8" s="4" t="s">
        <v>446</v>
      </c>
      <c r="I8" s="6" t="n">
        <v>31.88</v>
      </c>
      <c r="J8" s="6" t="n">
        <f aca="false">D8*I8</f>
        <v>1938.304</v>
      </c>
      <c r="K8" s="4" t="s">
        <v>169</v>
      </c>
    </row>
    <row r="9" customFormat="false" ht="270.1" hidden="false" customHeight="false" outlineLevel="0" collapsed="false">
      <c r="A9" s="4" t="s">
        <v>447</v>
      </c>
      <c r="B9" s="11" t="s">
        <v>448</v>
      </c>
      <c r="C9" s="4" t="s">
        <v>71</v>
      </c>
      <c r="D9" s="12" t="n">
        <v>432.7</v>
      </c>
      <c r="E9" s="12" t="n">
        <f aca="false">D9/16</f>
        <v>27.04375</v>
      </c>
      <c r="F9" s="4" t="s">
        <v>412</v>
      </c>
      <c r="G9" s="4"/>
      <c r="H9" s="4" t="s">
        <v>449</v>
      </c>
      <c r="I9" s="6" t="n">
        <v>35.97</v>
      </c>
      <c r="J9" s="6" t="n">
        <f aca="false">D9*I9</f>
        <v>15564.219</v>
      </c>
      <c r="K9" s="4" t="s">
        <v>169</v>
      </c>
    </row>
    <row r="10" customFormat="false" ht="158.2" hidden="false" customHeight="false" outlineLevel="0" collapsed="false">
      <c r="A10" s="4" t="s">
        <v>450</v>
      </c>
      <c r="B10" s="11" t="s">
        <v>451</v>
      </c>
      <c r="C10" s="4" t="s">
        <v>71</v>
      </c>
      <c r="D10" s="12" t="n">
        <v>749.65</v>
      </c>
      <c r="E10" s="12" t="n">
        <f aca="false">D10/16</f>
        <v>46.853125</v>
      </c>
      <c r="F10" s="4" t="s">
        <v>452</v>
      </c>
      <c r="G10" s="4"/>
      <c r="H10" s="4" t="s">
        <v>453</v>
      </c>
      <c r="I10" s="6" t="n">
        <v>42.95</v>
      </c>
      <c r="J10" s="6" t="n">
        <f aca="false">D10*I10</f>
        <v>32197.4675</v>
      </c>
      <c r="K10" s="13" t="s">
        <v>74</v>
      </c>
    </row>
    <row r="11" customFormat="false" ht="135.8" hidden="false" customHeight="false" outlineLevel="0" collapsed="false">
      <c r="A11" s="4" t="s">
        <v>454</v>
      </c>
      <c r="B11" s="11" t="s">
        <v>455</v>
      </c>
      <c r="C11" s="4" t="s">
        <v>71</v>
      </c>
      <c r="D11" s="12" t="n">
        <v>16</v>
      </c>
      <c r="E11" s="12" t="n">
        <f aca="false">D11/16</f>
        <v>1</v>
      </c>
      <c r="F11" s="4" t="s">
        <v>456</v>
      </c>
      <c r="G11" s="4"/>
      <c r="H11" s="4" t="s">
        <v>457</v>
      </c>
      <c r="I11" s="6" t="n">
        <v>19.4</v>
      </c>
      <c r="J11" s="6" t="n">
        <f aca="false">D11*I11</f>
        <v>310.4</v>
      </c>
      <c r="K11" s="13" t="s">
        <v>74</v>
      </c>
    </row>
    <row r="12" customFormat="false" ht="202.95" hidden="false" customHeight="false" outlineLevel="0" collapsed="false">
      <c r="A12" s="4" t="s">
        <v>458</v>
      </c>
      <c r="B12" s="11" t="s">
        <v>459</v>
      </c>
      <c r="C12" s="4" t="s">
        <v>71</v>
      </c>
      <c r="D12" s="12" t="n">
        <v>1777.6</v>
      </c>
      <c r="E12" s="12" t="n">
        <f aca="false">D12/16</f>
        <v>111.1</v>
      </c>
      <c r="F12" s="4" t="s">
        <v>460</v>
      </c>
      <c r="G12" s="4" t="s">
        <v>461</v>
      </c>
      <c r="H12" s="4" t="s">
        <v>462</v>
      </c>
      <c r="I12" s="6" t="n">
        <v>34.5</v>
      </c>
      <c r="J12" s="6" t="n">
        <f aca="false">D12*I12</f>
        <v>61327.2</v>
      </c>
      <c r="K12" s="13" t="s">
        <v>74</v>
      </c>
    </row>
    <row r="13" customFormat="false" ht="124.6" hidden="false" customHeight="false" outlineLevel="0" collapsed="false">
      <c r="A13" s="4" t="s">
        <v>463</v>
      </c>
      <c r="B13" s="11" t="s">
        <v>464</v>
      </c>
      <c r="C13" s="4" t="s">
        <v>128</v>
      </c>
      <c r="D13" s="12" t="n">
        <v>336</v>
      </c>
      <c r="E13" s="12" t="n">
        <f aca="false">D13/16</f>
        <v>21</v>
      </c>
      <c r="F13" s="4" t="s">
        <v>300</v>
      </c>
      <c r="G13" s="4" t="s">
        <v>465</v>
      </c>
      <c r="H13" s="4" t="s">
        <v>466</v>
      </c>
      <c r="I13" s="6" t="n">
        <v>28.08</v>
      </c>
      <c r="J13" s="6" t="n">
        <f aca="false">D13*I13</f>
        <v>9434.88</v>
      </c>
      <c r="K13" s="4" t="s">
        <v>169</v>
      </c>
    </row>
    <row r="14" customFormat="false" ht="147" hidden="false" customHeight="false" outlineLevel="0" collapsed="false">
      <c r="A14" s="4" t="s">
        <v>467</v>
      </c>
      <c r="B14" s="11" t="s">
        <v>468</v>
      </c>
      <c r="C14" s="4" t="s">
        <v>128</v>
      </c>
      <c r="D14" s="12" t="n">
        <v>120</v>
      </c>
      <c r="E14" s="12" t="n">
        <f aca="false">D14/16</f>
        <v>7.5</v>
      </c>
      <c r="F14" s="4" t="s">
        <v>469</v>
      </c>
      <c r="G14" s="4"/>
      <c r="H14" s="4" t="s">
        <v>470</v>
      </c>
      <c r="I14" s="6" t="n">
        <v>31.86</v>
      </c>
      <c r="J14" s="6" t="n">
        <f aca="false">D14*I14</f>
        <v>3823.2</v>
      </c>
      <c r="K14" s="4" t="s">
        <v>169</v>
      </c>
    </row>
    <row r="15" customFormat="false" ht="202.95" hidden="false" customHeight="false" outlineLevel="0" collapsed="false">
      <c r="A15" s="4" t="s">
        <v>471</v>
      </c>
      <c r="B15" s="11" t="s">
        <v>472</v>
      </c>
      <c r="C15" s="4" t="s">
        <v>128</v>
      </c>
      <c r="D15" s="12" t="n">
        <v>467.15</v>
      </c>
      <c r="E15" s="12" t="n">
        <f aca="false">D15/16</f>
        <v>29.196875</v>
      </c>
      <c r="F15" s="4" t="s">
        <v>473</v>
      </c>
      <c r="G15" s="4"/>
      <c r="H15" s="4" t="s">
        <v>474</v>
      </c>
      <c r="I15" s="6" t="n">
        <v>22.99</v>
      </c>
      <c r="J15" s="6" t="n">
        <f aca="false">D15*I15</f>
        <v>10739.7785</v>
      </c>
      <c r="K15" s="4" t="s">
        <v>169</v>
      </c>
    </row>
    <row r="16" customFormat="false" ht="292.5" hidden="false" customHeight="false" outlineLevel="0" collapsed="false">
      <c r="A16" s="4" t="s">
        <v>475</v>
      </c>
      <c r="B16" s="11" t="s">
        <v>476</v>
      </c>
      <c r="C16" s="4" t="s">
        <v>71</v>
      </c>
      <c r="D16" s="12" t="n">
        <v>497.68</v>
      </c>
      <c r="E16" s="12" t="n">
        <f aca="false">D16/16</f>
        <v>31.105</v>
      </c>
      <c r="F16" s="4" t="s">
        <v>477</v>
      </c>
      <c r="G16" s="4"/>
      <c r="H16" s="4" t="s">
        <v>478</v>
      </c>
      <c r="I16" s="6" t="n">
        <v>48.34</v>
      </c>
      <c r="J16" s="6" t="n">
        <f aca="false">D16*I16</f>
        <v>24057.8512</v>
      </c>
      <c r="K16" s="4" t="s">
        <v>169</v>
      </c>
    </row>
    <row r="17" s="7" customFormat="true" ht="15" hidden="false" customHeight="false" outlineLevel="0" collapsed="false">
      <c r="B17" s="7" t="s">
        <v>92</v>
      </c>
      <c r="J17" s="8" t="n">
        <f aca="false">SUM(J5:J16)</f>
        <v>250268.0921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479</v>
      </c>
    </row>
    <row r="2" customFormat="false" ht="15" hidden="false" customHeight="false" outlineLevel="0" collapsed="false">
      <c r="A2" s="2" t="s">
        <v>480</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68.65" hidden="false" customHeight="false" outlineLevel="0" collapsed="false">
      <c r="A5" s="4" t="s">
        <v>481</v>
      </c>
      <c r="B5" s="11" t="s">
        <v>482</v>
      </c>
      <c r="C5" s="4" t="s">
        <v>60</v>
      </c>
      <c r="D5" s="12" t="n">
        <v>112</v>
      </c>
      <c r="E5" s="12" t="n">
        <f aca="false">D5/16</f>
        <v>7</v>
      </c>
      <c r="F5" s="4" t="s">
        <v>483</v>
      </c>
      <c r="G5" s="4" t="s">
        <v>484</v>
      </c>
      <c r="H5" s="4" t="s">
        <v>485</v>
      </c>
      <c r="I5" s="6" t="n">
        <v>221.56</v>
      </c>
      <c r="J5" s="6" t="n">
        <f aca="false">D5*I5</f>
        <v>24814.72</v>
      </c>
      <c r="K5" s="4" t="s">
        <v>169</v>
      </c>
    </row>
    <row r="6" customFormat="false" ht="102.2" hidden="false" customHeight="false" outlineLevel="0" collapsed="false">
      <c r="A6" s="4" t="s">
        <v>486</v>
      </c>
      <c r="B6" s="11" t="s">
        <v>487</v>
      </c>
      <c r="C6" s="4" t="s">
        <v>71</v>
      </c>
      <c r="D6" s="12" t="n">
        <v>47.4</v>
      </c>
      <c r="E6" s="12" t="n">
        <f aca="false">D6/16</f>
        <v>2.9625</v>
      </c>
      <c r="F6" s="4" t="s">
        <v>488</v>
      </c>
      <c r="G6" s="4" t="s">
        <v>489</v>
      </c>
      <c r="H6" s="4" t="s">
        <v>490</v>
      </c>
      <c r="I6" s="6" t="n">
        <v>143.1</v>
      </c>
      <c r="J6" s="6" t="n">
        <f aca="false">D6*I6</f>
        <v>6782.94</v>
      </c>
      <c r="K6" s="4" t="s">
        <v>169</v>
      </c>
    </row>
    <row r="7" customFormat="false" ht="79.85" hidden="false" customHeight="false" outlineLevel="0" collapsed="false">
      <c r="A7" s="4" t="s">
        <v>491</v>
      </c>
      <c r="B7" s="11" t="s">
        <v>492</v>
      </c>
      <c r="C7" s="4" t="s">
        <v>71</v>
      </c>
      <c r="D7" s="12" t="n">
        <v>188.28</v>
      </c>
      <c r="E7" s="12" t="n">
        <f aca="false">D7/16</f>
        <v>11.7675</v>
      </c>
      <c r="F7" s="4" t="s">
        <v>493</v>
      </c>
      <c r="G7" s="4"/>
      <c r="H7" s="4" t="s">
        <v>494</v>
      </c>
      <c r="I7" s="6" t="n">
        <v>105.8</v>
      </c>
      <c r="J7" s="6" t="n">
        <f aca="false">D7*I7</f>
        <v>19920.024</v>
      </c>
      <c r="K7" s="4" t="s">
        <v>169</v>
      </c>
    </row>
    <row r="8" customFormat="false" ht="370.85" hidden="false" customHeight="false" outlineLevel="0" collapsed="false">
      <c r="A8" s="4" t="s">
        <v>495</v>
      </c>
      <c r="B8" s="11" t="s">
        <v>496</v>
      </c>
      <c r="C8" s="4" t="s">
        <v>128</v>
      </c>
      <c r="D8" s="12" t="n">
        <v>1621.25</v>
      </c>
      <c r="E8" s="12" t="n">
        <f aca="false">D8/16</f>
        <v>101.328125</v>
      </c>
      <c r="F8" s="4" t="s">
        <v>497</v>
      </c>
      <c r="G8" s="4" t="s">
        <v>498</v>
      </c>
      <c r="H8" s="4" t="s">
        <v>499</v>
      </c>
      <c r="I8" s="6" t="n">
        <v>6.95</v>
      </c>
      <c r="J8" s="6" t="n">
        <f aca="false">D8*I8</f>
        <v>11267.6875</v>
      </c>
      <c r="K8" s="4" t="s">
        <v>169</v>
      </c>
    </row>
    <row r="9" s="7" customFormat="true" ht="15" hidden="false" customHeight="false" outlineLevel="0" collapsed="false">
      <c r="B9" s="7" t="s">
        <v>92</v>
      </c>
      <c r="J9" s="8" t="n">
        <f aca="false">SUM(J5:J8)</f>
        <v>62785.3715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500</v>
      </c>
    </row>
    <row r="2" customFormat="false" ht="15" hidden="false" customHeight="false" outlineLevel="0" collapsed="false">
      <c r="A2" s="2" t="s">
        <v>501</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180.55" hidden="false" customHeight="false" outlineLevel="0" collapsed="false">
      <c r="A5" s="4" t="s">
        <v>502</v>
      </c>
      <c r="B5" s="11" t="s">
        <v>503</v>
      </c>
      <c r="C5" s="4" t="s">
        <v>60</v>
      </c>
      <c r="D5" s="12" t="n">
        <v>16</v>
      </c>
      <c r="E5" s="12" t="n">
        <f aca="false">D5/16</f>
        <v>1</v>
      </c>
      <c r="F5" s="4" t="s">
        <v>504</v>
      </c>
      <c r="G5" s="4" t="s">
        <v>505</v>
      </c>
      <c r="H5" s="4" t="s">
        <v>506</v>
      </c>
      <c r="I5" s="6" t="n">
        <v>1140.81</v>
      </c>
      <c r="J5" s="6" t="n">
        <f aca="false">D5*I5</f>
        <v>18252.96</v>
      </c>
      <c r="K5" s="4" t="s">
        <v>169</v>
      </c>
    </row>
    <row r="6" customFormat="false" ht="415.65" hidden="false" customHeight="false" outlineLevel="0" collapsed="false">
      <c r="A6" s="4" t="s">
        <v>507</v>
      </c>
      <c r="B6" s="11" t="s">
        <v>508</v>
      </c>
      <c r="C6" s="4" t="s">
        <v>60</v>
      </c>
      <c r="D6" s="12" t="n">
        <v>16</v>
      </c>
      <c r="E6" s="12" t="n">
        <f aca="false">D6/16</f>
        <v>1</v>
      </c>
      <c r="F6" s="4" t="s">
        <v>504</v>
      </c>
      <c r="G6" s="4" t="s">
        <v>509</v>
      </c>
      <c r="H6" s="4" t="s">
        <v>510</v>
      </c>
      <c r="I6" s="6" t="n">
        <v>240.87</v>
      </c>
      <c r="J6" s="6" t="n">
        <f aca="false">D6*I6</f>
        <v>3853.92</v>
      </c>
      <c r="K6" s="4" t="s">
        <v>169</v>
      </c>
    </row>
    <row r="7" customFormat="false" ht="471.6" hidden="false" customHeight="false" outlineLevel="0" collapsed="false">
      <c r="A7" s="4" t="s">
        <v>511</v>
      </c>
      <c r="B7" s="11" t="s">
        <v>512</v>
      </c>
      <c r="C7" s="4" t="s">
        <v>60</v>
      </c>
      <c r="D7" s="12" t="n">
        <v>16</v>
      </c>
      <c r="E7" s="12" t="n">
        <f aca="false">D7/16</f>
        <v>1</v>
      </c>
      <c r="F7" s="4" t="s">
        <v>513</v>
      </c>
      <c r="G7" s="4" t="s">
        <v>514</v>
      </c>
      <c r="H7" s="4" t="s">
        <v>515</v>
      </c>
      <c r="I7" s="6" t="n">
        <v>1335.55</v>
      </c>
      <c r="J7" s="6" t="n">
        <f aca="false">D7*I7</f>
        <v>21368.8</v>
      </c>
      <c r="K7" s="4" t="s">
        <v>169</v>
      </c>
    </row>
    <row r="8" customFormat="false" ht="471.6" hidden="false" customHeight="false" outlineLevel="0" collapsed="false">
      <c r="A8" s="4" t="s">
        <v>516</v>
      </c>
      <c r="B8" s="11" t="s">
        <v>517</v>
      </c>
      <c r="C8" s="4" t="s">
        <v>60</v>
      </c>
      <c r="D8" s="12" t="n">
        <v>16</v>
      </c>
      <c r="E8" s="12" t="n">
        <f aca="false">D8/16</f>
        <v>1</v>
      </c>
      <c r="F8" s="4" t="s">
        <v>518</v>
      </c>
      <c r="G8" s="4" t="s">
        <v>519</v>
      </c>
      <c r="H8" s="4" t="s">
        <v>520</v>
      </c>
      <c r="I8" s="6" t="n">
        <v>1266.9</v>
      </c>
      <c r="J8" s="6" t="n">
        <f aca="false">D8*I8</f>
        <v>20270.4</v>
      </c>
      <c r="K8" s="4" t="s">
        <v>169</v>
      </c>
    </row>
    <row r="9" customFormat="false" ht="471.6" hidden="false" customHeight="false" outlineLevel="0" collapsed="false">
      <c r="A9" s="4" t="s">
        <v>521</v>
      </c>
      <c r="B9" s="11" t="s">
        <v>522</v>
      </c>
      <c r="C9" s="4" t="s">
        <v>60</v>
      </c>
      <c r="D9" s="12" t="n">
        <v>16</v>
      </c>
      <c r="E9" s="12" t="n">
        <f aca="false">D9/16</f>
        <v>1</v>
      </c>
      <c r="F9" s="4" t="s">
        <v>523</v>
      </c>
      <c r="G9" s="4" t="s">
        <v>524</v>
      </c>
      <c r="H9" s="4" t="s">
        <v>525</v>
      </c>
      <c r="I9" s="6" t="n">
        <v>1300.09</v>
      </c>
      <c r="J9" s="6" t="n">
        <f aca="false">D9*I9</f>
        <v>20801.44</v>
      </c>
      <c r="K9" s="4" t="s">
        <v>169</v>
      </c>
    </row>
    <row r="10" customFormat="false" ht="438.05" hidden="false" customHeight="false" outlineLevel="0" collapsed="false">
      <c r="A10" s="4" t="s">
        <v>526</v>
      </c>
      <c r="B10" s="11" t="s">
        <v>527</v>
      </c>
      <c r="C10" s="4" t="s">
        <v>60</v>
      </c>
      <c r="D10" s="12" t="n">
        <v>16</v>
      </c>
      <c r="E10" s="12" t="n">
        <f aca="false">D10/16</f>
        <v>1</v>
      </c>
      <c r="F10" s="4" t="s">
        <v>528</v>
      </c>
      <c r="G10" s="4" t="s">
        <v>529</v>
      </c>
      <c r="H10" s="4" t="s">
        <v>530</v>
      </c>
      <c r="I10" s="6" t="n">
        <v>315.83</v>
      </c>
      <c r="J10" s="6" t="n">
        <f aca="false">D10*I10</f>
        <v>5053.28</v>
      </c>
      <c r="K10" s="4" t="s">
        <v>169</v>
      </c>
    </row>
    <row r="11" customFormat="false" ht="471.6" hidden="false" customHeight="false" outlineLevel="0" collapsed="false">
      <c r="A11" s="4" t="s">
        <v>531</v>
      </c>
      <c r="B11" s="11" t="s">
        <v>532</v>
      </c>
      <c r="C11" s="4" t="s">
        <v>60</v>
      </c>
      <c r="D11" s="12" t="n">
        <v>16</v>
      </c>
      <c r="E11" s="12" t="n">
        <f aca="false">D11/16</f>
        <v>1</v>
      </c>
      <c r="F11" s="4" t="s">
        <v>533</v>
      </c>
      <c r="G11" s="4" t="s">
        <v>534</v>
      </c>
      <c r="H11" s="4" t="s">
        <v>535</v>
      </c>
      <c r="I11" s="6" t="n">
        <v>597.76</v>
      </c>
      <c r="J11" s="6" t="n">
        <f aca="false">D11*I11</f>
        <v>9564.16</v>
      </c>
      <c r="K11" s="4" t="s">
        <v>169</v>
      </c>
    </row>
    <row r="12" customFormat="false" ht="482.8" hidden="false" customHeight="false" outlineLevel="0" collapsed="false">
      <c r="A12" s="4" t="s">
        <v>536</v>
      </c>
      <c r="B12" s="11" t="s">
        <v>537</v>
      </c>
      <c r="C12" s="4" t="s">
        <v>60</v>
      </c>
      <c r="D12" s="12" t="n">
        <v>48</v>
      </c>
      <c r="E12" s="12" t="n">
        <f aca="false">D12/16</f>
        <v>3</v>
      </c>
      <c r="F12" s="4" t="s">
        <v>538</v>
      </c>
      <c r="G12" s="4" t="s">
        <v>539</v>
      </c>
      <c r="H12" s="4" t="s">
        <v>540</v>
      </c>
      <c r="I12" s="6" t="n">
        <v>737.34</v>
      </c>
      <c r="J12" s="6" t="n">
        <f aca="false">D12*I12</f>
        <v>35392.32</v>
      </c>
      <c r="K12" s="4" t="s">
        <v>169</v>
      </c>
    </row>
    <row r="13" customFormat="false" ht="449.25" hidden="false" customHeight="false" outlineLevel="0" collapsed="false">
      <c r="A13" s="4" t="s">
        <v>541</v>
      </c>
      <c r="B13" s="11" t="s">
        <v>542</v>
      </c>
      <c r="C13" s="4" t="s">
        <v>60</v>
      </c>
      <c r="D13" s="12" t="n">
        <v>32</v>
      </c>
      <c r="E13" s="12" t="n">
        <f aca="false">D13/16</f>
        <v>2</v>
      </c>
      <c r="F13" s="4" t="s">
        <v>543</v>
      </c>
      <c r="G13" s="4" t="s">
        <v>544</v>
      </c>
      <c r="H13" s="4" t="s">
        <v>545</v>
      </c>
      <c r="I13" s="6" t="n">
        <v>323.91</v>
      </c>
      <c r="J13" s="6" t="n">
        <f aca="false">D13*I13</f>
        <v>10365.12</v>
      </c>
      <c r="K13" s="4" t="s">
        <v>169</v>
      </c>
    </row>
    <row r="14" customFormat="false" ht="471.6" hidden="false" customHeight="false" outlineLevel="0" collapsed="false">
      <c r="A14" s="4" t="s">
        <v>546</v>
      </c>
      <c r="B14" s="11" t="s">
        <v>547</v>
      </c>
      <c r="C14" s="4" t="s">
        <v>60</v>
      </c>
      <c r="D14" s="12" t="n">
        <v>2</v>
      </c>
      <c r="E14" s="12" t="n">
        <f aca="false">D14/16</f>
        <v>0.125</v>
      </c>
      <c r="F14" s="4" t="s">
        <v>548</v>
      </c>
      <c r="G14" s="4" t="s">
        <v>549</v>
      </c>
      <c r="H14" s="4" t="s">
        <v>550</v>
      </c>
      <c r="I14" s="6" t="n">
        <v>351.65</v>
      </c>
      <c r="J14" s="6" t="n">
        <f aca="false">D14*I14</f>
        <v>703.3</v>
      </c>
      <c r="K14" s="4" t="s">
        <v>169</v>
      </c>
    </row>
    <row r="15" customFormat="false" ht="438.05" hidden="false" customHeight="false" outlineLevel="0" collapsed="false">
      <c r="A15" s="4" t="s">
        <v>551</v>
      </c>
      <c r="B15" s="11" t="s">
        <v>552</v>
      </c>
      <c r="C15" s="4" t="s">
        <v>60</v>
      </c>
      <c r="D15" s="12" t="n">
        <v>2</v>
      </c>
      <c r="E15" s="12" t="n">
        <f aca="false">D15/16</f>
        <v>0.125</v>
      </c>
      <c r="F15" s="4" t="s">
        <v>548</v>
      </c>
      <c r="G15" s="4" t="s">
        <v>553</v>
      </c>
      <c r="H15" s="4" t="s">
        <v>554</v>
      </c>
      <c r="I15" s="6" t="n">
        <v>408.37</v>
      </c>
      <c r="J15" s="6" t="n">
        <f aca="false">D15*I15</f>
        <v>816.74</v>
      </c>
      <c r="K15" s="4" t="s">
        <v>169</v>
      </c>
    </row>
    <row r="16" customFormat="false" ht="124.6" hidden="false" customHeight="false" outlineLevel="0" collapsed="false">
      <c r="A16" s="4" t="s">
        <v>555</v>
      </c>
      <c r="B16" s="11" t="s">
        <v>556</v>
      </c>
      <c r="C16" s="4" t="s">
        <v>128</v>
      </c>
      <c r="D16" s="12" t="n">
        <v>926.4</v>
      </c>
      <c r="E16" s="12" t="n">
        <f aca="false">D16/16</f>
        <v>57.9</v>
      </c>
      <c r="F16" s="4" t="s">
        <v>557</v>
      </c>
      <c r="G16" s="4" t="s">
        <v>558</v>
      </c>
      <c r="H16" s="4" t="s">
        <v>559</v>
      </c>
      <c r="I16" s="6" t="n">
        <v>29.03</v>
      </c>
      <c r="J16" s="6" t="n">
        <f aca="false">D16*I16</f>
        <v>26893.392</v>
      </c>
      <c r="K16" s="4" t="s">
        <v>169</v>
      </c>
    </row>
    <row r="17" customFormat="false" ht="91" hidden="false" customHeight="false" outlineLevel="0" collapsed="false">
      <c r="A17" s="4" t="s">
        <v>560</v>
      </c>
      <c r="B17" s="11" t="s">
        <v>561</v>
      </c>
      <c r="C17" s="4" t="s">
        <v>128</v>
      </c>
      <c r="D17" s="12" t="n">
        <v>113.85</v>
      </c>
      <c r="E17" s="12" t="n">
        <f aca="false">D17/16</f>
        <v>7.115625</v>
      </c>
      <c r="F17" s="4" t="s">
        <v>562</v>
      </c>
      <c r="G17" s="4" t="s">
        <v>563</v>
      </c>
      <c r="H17" s="4" t="s">
        <v>564</v>
      </c>
      <c r="I17" s="6" t="n">
        <v>197.86</v>
      </c>
      <c r="J17" s="6" t="n">
        <f aca="false">D17*I17</f>
        <v>22526.361</v>
      </c>
      <c r="K17" s="4" t="s">
        <v>169</v>
      </c>
    </row>
    <row r="18" customFormat="false" ht="68.65" hidden="false" customHeight="false" outlineLevel="0" collapsed="false">
      <c r="A18" s="4" t="s">
        <v>565</v>
      </c>
      <c r="B18" s="11" t="s">
        <v>566</v>
      </c>
      <c r="C18" s="4" t="s">
        <v>60</v>
      </c>
      <c r="D18" s="12" t="n">
        <v>16</v>
      </c>
      <c r="E18" s="12" t="n">
        <f aca="false">D18/16</f>
        <v>1</v>
      </c>
      <c r="F18" s="4" t="s">
        <v>567</v>
      </c>
      <c r="G18" s="4" t="s">
        <v>568</v>
      </c>
      <c r="H18" s="4" t="s">
        <v>569</v>
      </c>
      <c r="I18" s="6" t="n">
        <v>135.82</v>
      </c>
      <c r="J18" s="6" t="n">
        <f aca="false">D18*I18</f>
        <v>2173.12</v>
      </c>
      <c r="K18" s="4" t="s">
        <v>169</v>
      </c>
    </row>
    <row r="19" customFormat="false" ht="158.2" hidden="false" customHeight="false" outlineLevel="0" collapsed="false">
      <c r="A19" s="4" t="s">
        <v>570</v>
      </c>
      <c r="B19" s="11" t="s">
        <v>571</v>
      </c>
      <c r="C19" s="4" t="s">
        <v>60</v>
      </c>
      <c r="D19" s="12" t="n">
        <v>180</v>
      </c>
      <c r="E19" s="12" t="n">
        <f aca="false">D19/16</f>
        <v>11.25</v>
      </c>
      <c r="F19" s="4" t="s">
        <v>572</v>
      </c>
      <c r="G19" s="4" t="s">
        <v>573</v>
      </c>
      <c r="H19" s="4" t="s">
        <v>574</v>
      </c>
      <c r="I19" s="6" t="n">
        <v>22.46</v>
      </c>
      <c r="J19" s="6" t="n">
        <f aca="false">D19*I19</f>
        <v>4042.8</v>
      </c>
      <c r="K19" s="13" t="s">
        <v>74</v>
      </c>
    </row>
    <row r="20" customFormat="false" ht="247.75" hidden="false" customHeight="false" outlineLevel="0" collapsed="false">
      <c r="A20" s="4" t="s">
        <v>575</v>
      </c>
      <c r="B20" s="11" t="s">
        <v>576</v>
      </c>
      <c r="C20" s="4" t="s">
        <v>577</v>
      </c>
      <c r="D20" s="12" t="n">
        <v>12481.02</v>
      </c>
      <c r="E20" s="12" t="n">
        <f aca="false">D20/16</f>
        <v>780.06375</v>
      </c>
      <c r="F20" s="4" t="s">
        <v>578</v>
      </c>
      <c r="G20" s="4" t="s">
        <v>558</v>
      </c>
      <c r="H20" s="4" t="s">
        <v>579</v>
      </c>
      <c r="I20" s="6" t="n">
        <v>4.41</v>
      </c>
      <c r="J20" s="6" t="n">
        <f aca="false">D20*I20</f>
        <v>55041.2982</v>
      </c>
      <c r="K20" s="13" t="s">
        <v>74</v>
      </c>
    </row>
    <row r="21" customFormat="false" ht="180.55" hidden="false" customHeight="false" outlineLevel="0" collapsed="false">
      <c r="A21" s="4" t="s">
        <v>580</v>
      </c>
      <c r="B21" s="11" t="s">
        <v>581</v>
      </c>
      <c r="C21" s="4" t="s">
        <v>60</v>
      </c>
      <c r="D21" s="12" t="n">
        <v>1</v>
      </c>
      <c r="E21" s="12" t="n">
        <f aca="false">D21/16</f>
        <v>0.0625</v>
      </c>
      <c r="F21" s="4" t="s">
        <v>582</v>
      </c>
      <c r="G21" s="4" t="s">
        <v>583</v>
      </c>
      <c r="H21" s="4" t="s">
        <v>584</v>
      </c>
      <c r="I21" s="6" t="n">
        <v>413.91</v>
      </c>
      <c r="J21" s="6" t="n">
        <f aca="false">D21*I21</f>
        <v>413.91</v>
      </c>
      <c r="K21" s="13" t="s">
        <v>74</v>
      </c>
    </row>
    <row r="22" customFormat="false" ht="46.25" hidden="false" customHeight="false" outlineLevel="0" collapsed="false">
      <c r="A22" s="4" t="s">
        <v>585</v>
      </c>
      <c r="B22" s="11" t="s">
        <v>586</v>
      </c>
      <c r="C22" s="4" t="s">
        <v>60</v>
      </c>
      <c r="D22" s="12" t="n">
        <v>1</v>
      </c>
      <c r="E22" s="12" t="n">
        <f aca="false">D22/16</f>
        <v>0.0625</v>
      </c>
      <c r="F22" s="4" t="s">
        <v>587</v>
      </c>
      <c r="G22" s="4" t="s">
        <v>588</v>
      </c>
      <c r="H22" s="4" t="s">
        <v>589</v>
      </c>
      <c r="I22" s="6" t="n">
        <v>436.14</v>
      </c>
      <c r="J22" s="6" t="n">
        <f aca="false">D22*I22</f>
        <v>436.14</v>
      </c>
      <c r="K22" s="13" t="s">
        <v>74</v>
      </c>
    </row>
    <row r="23" customFormat="false" ht="35.05" hidden="false" customHeight="false" outlineLevel="0" collapsed="false">
      <c r="A23" s="4" t="s">
        <v>590</v>
      </c>
      <c r="B23" s="11" t="s">
        <v>591</v>
      </c>
      <c r="C23" s="4" t="s">
        <v>60</v>
      </c>
      <c r="D23" s="12" t="n">
        <v>1</v>
      </c>
      <c r="E23" s="12" t="n">
        <f aca="false">D23/16</f>
        <v>0.0625</v>
      </c>
      <c r="F23" s="4" t="s">
        <v>592</v>
      </c>
      <c r="G23" s="4"/>
      <c r="H23" s="4" t="s">
        <v>593</v>
      </c>
      <c r="I23" s="6" t="n">
        <v>105.83</v>
      </c>
      <c r="J23" s="6" t="n">
        <f aca="false">D23*I23</f>
        <v>105.83</v>
      </c>
      <c r="K23" s="13" t="s">
        <v>74</v>
      </c>
    </row>
    <row r="24" customFormat="false" ht="102.2" hidden="false" customHeight="false" outlineLevel="0" collapsed="false">
      <c r="A24" s="4" t="s">
        <v>594</v>
      </c>
      <c r="B24" s="11" t="s">
        <v>595</v>
      </c>
      <c r="C24" s="4" t="s">
        <v>60</v>
      </c>
      <c r="D24" s="12" t="n">
        <v>1</v>
      </c>
      <c r="E24" s="12" t="n">
        <f aca="false">D24/16</f>
        <v>0.0625</v>
      </c>
      <c r="F24" s="4" t="s">
        <v>596</v>
      </c>
      <c r="G24" s="4" t="s">
        <v>597</v>
      </c>
      <c r="H24" s="4" t="s">
        <v>598</v>
      </c>
      <c r="I24" s="6" t="n">
        <v>740.47</v>
      </c>
      <c r="J24" s="6" t="n">
        <f aca="false">D24*I24</f>
        <v>740.47</v>
      </c>
      <c r="K24" s="13" t="s">
        <v>74</v>
      </c>
    </row>
    <row r="25" s="7" customFormat="true" ht="15" hidden="false" customHeight="false" outlineLevel="0" collapsed="false">
      <c r="B25" s="7" t="s">
        <v>92</v>
      </c>
      <c r="J25" s="8" t="n">
        <f aca="false">SUM(J5:J24)</f>
        <v>258815.7612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599</v>
      </c>
    </row>
    <row r="2" customFormat="false" ht="15" hidden="false" customHeight="false" outlineLevel="0" collapsed="false">
      <c r="A2" s="2" t="s">
        <v>600</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594.75" hidden="false" customHeight="false" outlineLevel="0" collapsed="false">
      <c r="A5" s="4" t="s">
        <v>601</v>
      </c>
      <c r="B5" s="11" t="s">
        <v>602</v>
      </c>
      <c r="C5" s="4" t="s">
        <v>71</v>
      </c>
      <c r="D5" s="12" t="n">
        <v>4697.94</v>
      </c>
      <c r="E5" s="12" t="n">
        <f aca="false">D5/16</f>
        <v>293.62125</v>
      </c>
      <c r="F5" s="4" t="s">
        <v>603</v>
      </c>
      <c r="G5" s="4"/>
      <c r="H5" s="4" t="s">
        <v>604</v>
      </c>
      <c r="I5" s="6" t="n">
        <v>8.11</v>
      </c>
      <c r="J5" s="6" t="n">
        <f aca="false">D5*I5</f>
        <v>38100.2934</v>
      </c>
      <c r="K5" s="4" t="s">
        <v>169</v>
      </c>
    </row>
    <row r="6" customFormat="false" ht="550" hidden="false" customHeight="false" outlineLevel="0" collapsed="false">
      <c r="A6" s="4" t="s">
        <v>605</v>
      </c>
      <c r="B6" s="11" t="s">
        <v>606</v>
      </c>
      <c r="C6" s="4" t="s">
        <v>71</v>
      </c>
      <c r="D6" s="12" t="n">
        <v>2092.75</v>
      </c>
      <c r="E6" s="12" t="n">
        <f aca="false">D6/16</f>
        <v>130.796875</v>
      </c>
      <c r="F6" s="4" t="s">
        <v>607</v>
      </c>
      <c r="G6" s="4"/>
      <c r="H6" s="4" t="s">
        <v>608</v>
      </c>
      <c r="I6" s="6" t="n">
        <v>10.45</v>
      </c>
      <c r="J6" s="6" t="n">
        <f aca="false">D6*I6</f>
        <v>21869.2375</v>
      </c>
      <c r="K6" s="4" t="s">
        <v>169</v>
      </c>
    </row>
    <row r="7" s="7" customFormat="true" ht="15" hidden="false" customHeight="false" outlineLevel="0" collapsed="false">
      <c r="B7" s="7" t="s">
        <v>92</v>
      </c>
      <c r="J7" s="8" t="n">
        <f aca="false">SUM(J5:J6)</f>
        <v>59969.5309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609</v>
      </c>
    </row>
    <row r="2" customFormat="false" ht="15" hidden="false" customHeight="false" outlineLevel="0" collapsed="false">
      <c r="A2" s="2" t="s">
        <v>610</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57.45" hidden="false" customHeight="false" outlineLevel="0" collapsed="false">
      <c r="A5" s="4" t="s">
        <v>611</v>
      </c>
      <c r="B5" s="11" t="s">
        <v>612</v>
      </c>
      <c r="C5" s="4" t="s">
        <v>60</v>
      </c>
      <c r="D5" s="12" t="n">
        <v>34</v>
      </c>
      <c r="E5" s="12" t="n">
        <f aca="false">D5/16</f>
        <v>2.125</v>
      </c>
      <c r="F5" s="4" t="s">
        <v>613</v>
      </c>
      <c r="G5" s="4"/>
      <c r="H5" s="4" t="s">
        <v>614</v>
      </c>
      <c r="I5" s="6" t="n">
        <v>101.61</v>
      </c>
      <c r="J5" s="6" t="n">
        <f aca="false">D5*I5</f>
        <v>3454.74</v>
      </c>
      <c r="K5" s="4" t="s">
        <v>169</v>
      </c>
    </row>
    <row r="6" customFormat="false" ht="91" hidden="false" customHeight="false" outlineLevel="0" collapsed="false">
      <c r="A6" s="4" t="s">
        <v>615</v>
      </c>
      <c r="B6" s="11" t="s">
        <v>616</v>
      </c>
      <c r="C6" s="4" t="s">
        <v>60</v>
      </c>
      <c r="D6" s="12" t="n">
        <v>17</v>
      </c>
      <c r="E6" s="12" t="n">
        <f aca="false">D6/16</f>
        <v>1.0625</v>
      </c>
      <c r="F6" s="4" t="s">
        <v>617</v>
      </c>
      <c r="G6" s="4" t="s">
        <v>618</v>
      </c>
      <c r="H6" s="4" t="s">
        <v>619</v>
      </c>
      <c r="I6" s="6" t="n">
        <v>174.34</v>
      </c>
      <c r="J6" s="6" t="n">
        <f aca="false">D6*I6</f>
        <v>2963.78</v>
      </c>
      <c r="K6" s="13" t="s">
        <v>74</v>
      </c>
    </row>
    <row r="7" customFormat="false" ht="79.85" hidden="false" customHeight="false" outlineLevel="0" collapsed="false">
      <c r="A7" s="4" t="s">
        <v>620</v>
      </c>
      <c r="B7" s="11" t="s">
        <v>621</v>
      </c>
      <c r="C7" s="4" t="s">
        <v>128</v>
      </c>
      <c r="D7" s="12" t="n">
        <v>139</v>
      </c>
      <c r="E7" s="12" t="n">
        <f aca="false">D7/16</f>
        <v>8.6875</v>
      </c>
      <c r="F7" s="4" t="s">
        <v>622</v>
      </c>
      <c r="G7" s="4" t="s">
        <v>623</v>
      </c>
      <c r="H7" s="4" t="s">
        <v>624</v>
      </c>
      <c r="I7" s="6" t="n">
        <v>23.07</v>
      </c>
      <c r="J7" s="6" t="n">
        <f aca="false">D7*I7</f>
        <v>3206.73</v>
      </c>
      <c r="K7" s="13" t="s">
        <v>74</v>
      </c>
    </row>
    <row r="8" customFormat="false" ht="79.85" hidden="false" customHeight="false" outlineLevel="0" collapsed="false">
      <c r="A8" s="4" t="s">
        <v>625</v>
      </c>
      <c r="B8" s="11" t="s">
        <v>626</v>
      </c>
      <c r="C8" s="4" t="s">
        <v>128</v>
      </c>
      <c r="D8" s="12" t="n">
        <v>45</v>
      </c>
      <c r="E8" s="12" t="n">
        <f aca="false">D8/16</f>
        <v>2.8125</v>
      </c>
      <c r="F8" s="4" t="s">
        <v>627</v>
      </c>
      <c r="G8" s="4" t="s">
        <v>628</v>
      </c>
      <c r="H8" s="4" t="s">
        <v>629</v>
      </c>
      <c r="I8" s="6" t="n">
        <v>44.31</v>
      </c>
      <c r="J8" s="6" t="n">
        <f aca="false">D8*I8</f>
        <v>1993.95</v>
      </c>
      <c r="K8" s="13" t="s">
        <v>74</v>
      </c>
    </row>
    <row r="9" customFormat="false" ht="57.45" hidden="false" customHeight="false" outlineLevel="0" collapsed="false">
      <c r="A9" s="4" t="s">
        <v>630</v>
      </c>
      <c r="B9" s="11" t="s">
        <v>631</v>
      </c>
      <c r="C9" s="4" t="s">
        <v>128</v>
      </c>
      <c r="D9" s="12" t="n">
        <v>160</v>
      </c>
      <c r="E9" s="12" t="n">
        <f aca="false">D9/16</f>
        <v>10</v>
      </c>
      <c r="F9" s="4" t="s">
        <v>632</v>
      </c>
      <c r="G9" s="4"/>
      <c r="H9" s="4" t="s">
        <v>633</v>
      </c>
      <c r="I9" s="6" t="n">
        <v>18.13</v>
      </c>
      <c r="J9" s="6" t="n">
        <f aca="false">D9*I9</f>
        <v>2900.8</v>
      </c>
      <c r="K9" s="13" t="s">
        <v>74</v>
      </c>
    </row>
    <row r="10" customFormat="false" ht="68.65" hidden="false" customHeight="false" outlineLevel="0" collapsed="false">
      <c r="A10" s="4" t="s">
        <v>634</v>
      </c>
      <c r="B10" s="11" t="s">
        <v>635</v>
      </c>
      <c r="C10" s="4" t="s">
        <v>128</v>
      </c>
      <c r="D10" s="12" t="n">
        <v>160</v>
      </c>
      <c r="E10" s="12" t="n">
        <f aca="false">D10/16</f>
        <v>10</v>
      </c>
      <c r="F10" s="4" t="s">
        <v>632</v>
      </c>
      <c r="G10" s="4" t="s">
        <v>636</v>
      </c>
      <c r="H10" s="4" t="s">
        <v>637</v>
      </c>
      <c r="I10" s="6" t="n">
        <v>12.71</v>
      </c>
      <c r="J10" s="6" t="n">
        <f aca="false">D10*I10</f>
        <v>2033.6</v>
      </c>
      <c r="K10" s="13" t="s">
        <v>74</v>
      </c>
    </row>
    <row r="11" customFormat="false" ht="68.65" hidden="false" customHeight="false" outlineLevel="0" collapsed="false">
      <c r="A11" s="4" t="s">
        <v>638</v>
      </c>
      <c r="B11" s="11" t="s">
        <v>639</v>
      </c>
      <c r="C11" s="4" t="s">
        <v>128</v>
      </c>
      <c r="D11" s="12" t="n">
        <v>40</v>
      </c>
      <c r="E11" s="12" t="n">
        <f aca="false">D11/16</f>
        <v>2.5</v>
      </c>
      <c r="F11" s="4" t="s">
        <v>640</v>
      </c>
      <c r="G11" s="4" t="s">
        <v>636</v>
      </c>
      <c r="H11" s="4" t="s">
        <v>641</v>
      </c>
      <c r="I11" s="6" t="n">
        <v>18.11</v>
      </c>
      <c r="J11" s="6" t="n">
        <f aca="false">D11*I11</f>
        <v>724.4</v>
      </c>
      <c r="K11" s="13" t="s">
        <v>74</v>
      </c>
    </row>
    <row r="12" customFormat="false" ht="68.65" hidden="false" customHeight="false" outlineLevel="0" collapsed="false">
      <c r="A12" s="4" t="s">
        <v>642</v>
      </c>
      <c r="B12" s="11" t="s">
        <v>643</v>
      </c>
      <c r="C12" s="4" t="s">
        <v>128</v>
      </c>
      <c r="D12" s="12" t="n">
        <v>45</v>
      </c>
      <c r="E12" s="12" t="n">
        <f aca="false">D12/16</f>
        <v>2.8125</v>
      </c>
      <c r="F12" s="4" t="s">
        <v>644</v>
      </c>
      <c r="G12" s="4" t="s">
        <v>636</v>
      </c>
      <c r="H12" s="4" t="s">
        <v>645</v>
      </c>
      <c r="I12" s="6" t="n">
        <v>9.83</v>
      </c>
      <c r="J12" s="6" t="n">
        <f aca="false">D12*I12</f>
        <v>442.35</v>
      </c>
      <c r="K12" s="13" t="s">
        <v>74</v>
      </c>
    </row>
    <row r="13" customFormat="false" ht="124.6" hidden="false" customHeight="false" outlineLevel="0" collapsed="false">
      <c r="A13" s="4" t="s">
        <v>646</v>
      </c>
      <c r="B13" s="11" t="s">
        <v>647</v>
      </c>
      <c r="C13" s="4" t="s">
        <v>60</v>
      </c>
      <c r="D13" s="12" t="n">
        <v>16</v>
      </c>
      <c r="E13" s="12" t="n">
        <f aca="false">D13/16</f>
        <v>1</v>
      </c>
      <c r="F13" s="4" t="s">
        <v>648</v>
      </c>
      <c r="G13" s="4"/>
      <c r="H13" s="4" t="s">
        <v>649</v>
      </c>
      <c r="I13" s="6" t="n">
        <v>1170.53</v>
      </c>
      <c r="J13" s="6" t="n">
        <f aca="false">D13*I13</f>
        <v>18728.48</v>
      </c>
      <c r="K13" s="4" t="s">
        <v>169</v>
      </c>
    </row>
    <row r="14" customFormat="false" ht="46.25" hidden="false" customHeight="false" outlineLevel="0" collapsed="false">
      <c r="A14" s="4" t="s">
        <v>650</v>
      </c>
      <c r="B14" s="11" t="s">
        <v>651</v>
      </c>
      <c r="C14" s="4" t="s">
        <v>60</v>
      </c>
      <c r="D14" s="12" t="n">
        <v>1</v>
      </c>
      <c r="E14" s="12" t="n">
        <f aca="false">D14/16</f>
        <v>0.0625</v>
      </c>
      <c r="F14" s="4" t="s">
        <v>652</v>
      </c>
      <c r="G14" s="4"/>
      <c r="H14" s="4" t="s">
        <v>653</v>
      </c>
      <c r="I14" s="6" t="n">
        <v>454.37</v>
      </c>
      <c r="J14" s="6" t="n">
        <f aca="false">D14*I14</f>
        <v>454.37</v>
      </c>
      <c r="K14" s="13" t="s">
        <v>74</v>
      </c>
    </row>
    <row r="15" customFormat="false" ht="46.25" hidden="false" customHeight="false" outlineLevel="0" collapsed="false">
      <c r="A15" s="4" t="s">
        <v>654</v>
      </c>
      <c r="B15" s="11" t="s">
        <v>655</v>
      </c>
      <c r="C15" s="4" t="s">
        <v>60</v>
      </c>
      <c r="D15" s="12" t="n">
        <v>1</v>
      </c>
      <c r="E15" s="12" t="n">
        <f aca="false">D15/16</f>
        <v>0.0625</v>
      </c>
      <c r="F15" s="4" t="s">
        <v>652</v>
      </c>
      <c r="G15" s="4"/>
      <c r="H15" s="4" t="s">
        <v>656</v>
      </c>
      <c r="I15" s="6" t="n">
        <v>826.57</v>
      </c>
      <c r="J15" s="6" t="n">
        <f aca="false">D15*I15</f>
        <v>826.57</v>
      </c>
      <c r="K15" s="13" t="s">
        <v>74</v>
      </c>
    </row>
    <row r="16" customFormat="false" ht="68.65" hidden="false" customHeight="false" outlineLevel="0" collapsed="false">
      <c r="A16" s="4" t="s">
        <v>657</v>
      </c>
      <c r="B16" s="11" t="s">
        <v>658</v>
      </c>
      <c r="C16" s="4" t="s">
        <v>128</v>
      </c>
      <c r="D16" s="12" t="n">
        <v>420</v>
      </c>
      <c r="E16" s="12" t="n">
        <f aca="false">D16/16</f>
        <v>26.25</v>
      </c>
      <c r="F16" s="4" t="s">
        <v>659</v>
      </c>
      <c r="G16" s="4"/>
      <c r="H16" s="4" t="s">
        <v>660</v>
      </c>
      <c r="I16" s="6" t="n">
        <v>5.74</v>
      </c>
      <c r="J16" s="6" t="n">
        <f aca="false">D16*I16</f>
        <v>2410.8</v>
      </c>
      <c r="K16" s="13" t="s">
        <v>74</v>
      </c>
    </row>
    <row r="17" customFormat="false" ht="57.45" hidden="false" customHeight="false" outlineLevel="0" collapsed="false">
      <c r="A17" s="4" t="s">
        <v>661</v>
      </c>
      <c r="B17" s="11" t="s">
        <v>662</v>
      </c>
      <c r="C17" s="4" t="s">
        <v>128</v>
      </c>
      <c r="D17" s="12" t="n">
        <v>20</v>
      </c>
      <c r="E17" s="12" t="n">
        <f aca="false">D17/16</f>
        <v>1.25</v>
      </c>
      <c r="F17" s="4" t="s">
        <v>663</v>
      </c>
      <c r="G17" s="4"/>
      <c r="H17" s="4" t="s">
        <v>664</v>
      </c>
      <c r="I17" s="6" t="n">
        <v>5.71</v>
      </c>
      <c r="J17" s="6" t="n">
        <f aca="false">D17*I17</f>
        <v>114.2</v>
      </c>
      <c r="K17" s="13" t="s">
        <v>74</v>
      </c>
    </row>
    <row r="18" customFormat="false" ht="46.25" hidden="false" customHeight="false" outlineLevel="0" collapsed="false">
      <c r="A18" s="4" t="s">
        <v>665</v>
      </c>
      <c r="B18" s="11" t="s">
        <v>666</v>
      </c>
      <c r="C18" s="4" t="s">
        <v>128</v>
      </c>
      <c r="D18" s="12" t="n">
        <v>420</v>
      </c>
      <c r="E18" s="12" t="n">
        <f aca="false">D18/16</f>
        <v>26.25</v>
      </c>
      <c r="F18" s="4" t="s">
        <v>667</v>
      </c>
      <c r="G18" s="4" t="s">
        <v>272</v>
      </c>
      <c r="H18" s="4" t="s">
        <v>668</v>
      </c>
      <c r="I18" s="6" t="n">
        <v>4.92</v>
      </c>
      <c r="J18" s="6" t="n">
        <f aca="false">D18*I18</f>
        <v>2066.4</v>
      </c>
      <c r="K18" s="13" t="s">
        <v>74</v>
      </c>
    </row>
    <row r="19" customFormat="false" ht="169.4" hidden="false" customHeight="false" outlineLevel="0" collapsed="false">
      <c r="A19" s="4" t="s">
        <v>669</v>
      </c>
      <c r="B19" s="11" t="s">
        <v>670</v>
      </c>
      <c r="C19" s="4" t="s">
        <v>60</v>
      </c>
      <c r="D19" s="12" t="n">
        <v>16</v>
      </c>
      <c r="E19" s="12" t="n">
        <f aca="false">D19/16</f>
        <v>1</v>
      </c>
      <c r="F19" s="4" t="s">
        <v>567</v>
      </c>
      <c r="G19" s="4"/>
      <c r="H19" s="4" t="s">
        <v>671</v>
      </c>
      <c r="I19" s="6" t="n">
        <v>2937.18</v>
      </c>
      <c r="J19" s="6" t="n">
        <f aca="false">D19*I19</f>
        <v>46994.88</v>
      </c>
      <c r="K19" s="4" t="s">
        <v>169</v>
      </c>
    </row>
    <row r="20" customFormat="false" ht="124.6" hidden="false" customHeight="false" outlineLevel="0" collapsed="false">
      <c r="A20" s="4" t="s">
        <v>672</v>
      </c>
      <c r="B20" s="11" t="s">
        <v>673</v>
      </c>
      <c r="C20" s="4" t="s">
        <v>60</v>
      </c>
      <c r="D20" s="12" t="n">
        <v>48</v>
      </c>
      <c r="E20" s="12" t="n">
        <f aca="false">D20/16</f>
        <v>3</v>
      </c>
      <c r="F20" s="4" t="s">
        <v>674</v>
      </c>
      <c r="G20" s="4"/>
      <c r="H20" s="4" t="s">
        <v>675</v>
      </c>
      <c r="I20" s="6" t="n">
        <v>38.34</v>
      </c>
      <c r="J20" s="6" t="n">
        <f aca="false">D20*I20</f>
        <v>1840.32</v>
      </c>
      <c r="K20" s="4" t="s">
        <v>169</v>
      </c>
    </row>
    <row r="21" customFormat="false" ht="57.45" hidden="false" customHeight="false" outlineLevel="0" collapsed="false">
      <c r="A21" s="4" t="s">
        <v>676</v>
      </c>
      <c r="B21" s="11" t="s">
        <v>677</v>
      </c>
      <c r="C21" s="4" t="s">
        <v>60</v>
      </c>
      <c r="D21" s="12" t="n">
        <v>17</v>
      </c>
      <c r="E21" s="12" t="n">
        <f aca="false">D21/16</f>
        <v>1.0625</v>
      </c>
      <c r="F21" s="4" t="s">
        <v>678</v>
      </c>
      <c r="G21" s="4"/>
      <c r="H21" s="4" t="s">
        <v>679</v>
      </c>
      <c r="I21" s="6" t="n">
        <v>118.37</v>
      </c>
      <c r="J21" s="6" t="n">
        <f aca="false">D21*I21</f>
        <v>2012.29</v>
      </c>
      <c r="K21" s="4" t="s">
        <v>169</v>
      </c>
    </row>
    <row r="22" customFormat="false" ht="57.45" hidden="false" customHeight="false" outlineLevel="0" collapsed="false">
      <c r="A22" s="4" t="s">
        <v>680</v>
      </c>
      <c r="B22" s="11" t="s">
        <v>681</v>
      </c>
      <c r="C22" s="4" t="s">
        <v>128</v>
      </c>
      <c r="D22" s="12" t="n">
        <v>650.35</v>
      </c>
      <c r="E22" s="12" t="n">
        <f aca="false">D22/16</f>
        <v>40.646875</v>
      </c>
      <c r="F22" s="4" t="s">
        <v>682</v>
      </c>
      <c r="G22" s="4"/>
      <c r="H22" s="4" t="s">
        <v>683</v>
      </c>
      <c r="I22" s="6" t="n">
        <v>50.71</v>
      </c>
      <c r="J22" s="6" t="n">
        <f aca="false">D22*I22</f>
        <v>32979.2485</v>
      </c>
      <c r="K22" s="4" t="s">
        <v>169</v>
      </c>
    </row>
    <row r="23" customFormat="false" ht="46.25" hidden="false" customHeight="false" outlineLevel="0" collapsed="false">
      <c r="A23" s="4" t="s">
        <v>684</v>
      </c>
      <c r="B23" s="11" t="s">
        <v>685</v>
      </c>
      <c r="C23" s="4" t="s">
        <v>60</v>
      </c>
      <c r="D23" s="12" t="n">
        <v>150</v>
      </c>
      <c r="E23" s="12" t="n">
        <f aca="false">D23/16</f>
        <v>9.375</v>
      </c>
      <c r="F23" s="4" t="s">
        <v>686</v>
      </c>
      <c r="G23" s="4"/>
      <c r="H23" s="4" t="s">
        <v>687</v>
      </c>
      <c r="I23" s="6" t="n">
        <v>23.94</v>
      </c>
      <c r="J23" s="6" t="n">
        <f aca="false">D23*I23</f>
        <v>3591</v>
      </c>
      <c r="K23" s="4" t="s">
        <v>169</v>
      </c>
    </row>
    <row r="24" customFormat="false" ht="57.45" hidden="false" customHeight="false" outlineLevel="0" collapsed="false">
      <c r="A24" s="4" t="s">
        <v>688</v>
      </c>
      <c r="B24" s="11" t="s">
        <v>689</v>
      </c>
      <c r="C24" s="4" t="s">
        <v>60</v>
      </c>
      <c r="D24" s="12" t="n">
        <v>192</v>
      </c>
      <c r="E24" s="12" t="n">
        <f aca="false">D24/16</f>
        <v>12</v>
      </c>
      <c r="F24" s="4" t="s">
        <v>690</v>
      </c>
      <c r="G24" s="4" t="s">
        <v>691</v>
      </c>
      <c r="H24" s="4" t="s">
        <v>692</v>
      </c>
      <c r="I24" s="6" t="n">
        <v>18.32</v>
      </c>
      <c r="J24" s="6" t="n">
        <f aca="false">D24*I24</f>
        <v>3517.44</v>
      </c>
      <c r="K24" s="4" t="s">
        <v>169</v>
      </c>
    </row>
    <row r="25" customFormat="false" ht="57.45" hidden="false" customHeight="false" outlineLevel="0" collapsed="false">
      <c r="A25" s="4" t="s">
        <v>693</v>
      </c>
      <c r="B25" s="11" t="s">
        <v>694</v>
      </c>
      <c r="C25" s="4" t="s">
        <v>60</v>
      </c>
      <c r="D25" s="12" t="n">
        <v>33</v>
      </c>
      <c r="E25" s="12" t="n">
        <f aca="false">D25/16</f>
        <v>2.0625</v>
      </c>
      <c r="F25" s="4" t="s">
        <v>695</v>
      </c>
      <c r="G25" s="4" t="s">
        <v>691</v>
      </c>
      <c r="H25" s="4" t="s">
        <v>696</v>
      </c>
      <c r="I25" s="6" t="n">
        <v>38.18</v>
      </c>
      <c r="J25" s="6" t="n">
        <f aca="false">D25*I25</f>
        <v>1259.94</v>
      </c>
      <c r="K25" s="4" t="s">
        <v>169</v>
      </c>
    </row>
    <row r="26" customFormat="false" ht="68.65" hidden="false" customHeight="false" outlineLevel="0" collapsed="false">
      <c r="A26" s="4" t="s">
        <v>697</v>
      </c>
      <c r="B26" s="11" t="s">
        <v>698</v>
      </c>
      <c r="C26" s="4" t="s">
        <v>60</v>
      </c>
      <c r="D26" s="12" t="n">
        <v>224</v>
      </c>
      <c r="E26" s="12" t="n">
        <f aca="false">D26/16</f>
        <v>14</v>
      </c>
      <c r="F26" s="4" t="s">
        <v>699</v>
      </c>
      <c r="G26" s="4" t="s">
        <v>691</v>
      </c>
      <c r="H26" s="4" t="s">
        <v>700</v>
      </c>
      <c r="I26" s="6" t="n">
        <v>34.89</v>
      </c>
      <c r="J26" s="6" t="n">
        <f aca="false">D26*I26</f>
        <v>7815.36</v>
      </c>
      <c r="K26" s="4" t="s">
        <v>169</v>
      </c>
    </row>
    <row r="27" customFormat="false" ht="68.65" hidden="false" customHeight="false" outlineLevel="0" collapsed="false">
      <c r="A27" s="4" t="s">
        <v>701</v>
      </c>
      <c r="B27" s="11" t="s">
        <v>702</v>
      </c>
      <c r="C27" s="4" t="s">
        <v>60</v>
      </c>
      <c r="D27" s="12" t="n">
        <v>32</v>
      </c>
      <c r="E27" s="12" t="n">
        <f aca="false">D27/16</f>
        <v>2</v>
      </c>
      <c r="F27" s="4" t="s">
        <v>703</v>
      </c>
      <c r="G27" s="4" t="s">
        <v>691</v>
      </c>
      <c r="H27" s="4" t="s">
        <v>704</v>
      </c>
      <c r="I27" s="6" t="n">
        <v>50.17</v>
      </c>
      <c r="J27" s="6" t="n">
        <f aca="false">D27*I27</f>
        <v>1605.44</v>
      </c>
      <c r="K27" s="4" t="s">
        <v>169</v>
      </c>
    </row>
    <row r="28" customFormat="false" ht="158.2" hidden="false" customHeight="false" outlineLevel="0" collapsed="false">
      <c r="A28" s="4" t="s">
        <v>705</v>
      </c>
      <c r="B28" s="11" t="s">
        <v>706</v>
      </c>
      <c r="C28" s="4" t="s">
        <v>60</v>
      </c>
      <c r="D28" s="12" t="n">
        <v>16</v>
      </c>
      <c r="E28" s="12" t="n">
        <f aca="false">D28/16</f>
        <v>1</v>
      </c>
      <c r="F28" s="4" t="s">
        <v>707</v>
      </c>
      <c r="G28" s="4" t="s">
        <v>708</v>
      </c>
      <c r="H28" s="4" t="s">
        <v>709</v>
      </c>
      <c r="I28" s="6" t="n">
        <v>38.28</v>
      </c>
      <c r="J28" s="6" t="n">
        <f aca="false">D28*I28</f>
        <v>612.48</v>
      </c>
      <c r="K28" s="4" t="s">
        <v>169</v>
      </c>
    </row>
    <row r="29" customFormat="false" ht="68.65" hidden="false" customHeight="false" outlineLevel="0" collapsed="false">
      <c r="A29" s="4" t="s">
        <v>710</v>
      </c>
      <c r="B29" s="11" t="s">
        <v>711</v>
      </c>
      <c r="C29" s="4" t="s">
        <v>60</v>
      </c>
      <c r="D29" s="12" t="n">
        <v>336</v>
      </c>
      <c r="E29" s="12" t="n">
        <f aca="false">D29/16</f>
        <v>21</v>
      </c>
      <c r="F29" s="4" t="s">
        <v>712</v>
      </c>
      <c r="G29" s="4" t="s">
        <v>691</v>
      </c>
      <c r="H29" s="4" t="s">
        <v>713</v>
      </c>
      <c r="I29" s="6" t="n">
        <v>20.93</v>
      </c>
      <c r="J29" s="6" t="n">
        <f aca="false">D29*I29</f>
        <v>7032.48</v>
      </c>
      <c r="K29" s="4" t="s">
        <v>169</v>
      </c>
    </row>
    <row r="30" customFormat="false" ht="68.65" hidden="false" customHeight="false" outlineLevel="0" collapsed="false">
      <c r="A30" s="4" t="s">
        <v>714</v>
      </c>
      <c r="B30" s="11" t="s">
        <v>715</v>
      </c>
      <c r="C30" s="4" t="s">
        <v>60</v>
      </c>
      <c r="D30" s="12" t="n">
        <v>112</v>
      </c>
      <c r="E30" s="12" t="n">
        <f aca="false">D30/16</f>
        <v>7</v>
      </c>
      <c r="F30" s="4" t="s">
        <v>483</v>
      </c>
      <c r="G30" s="4" t="s">
        <v>691</v>
      </c>
      <c r="H30" s="4" t="s">
        <v>716</v>
      </c>
      <c r="I30" s="6" t="n">
        <v>26.91</v>
      </c>
      <c r="J30" s="6" t="n">
        <f aca="false">D30*I30</f>
        <v>3013.92</v>
      </c>
      <c r="K30" s="4" t="s">
        <v>169</v>
      </c>
    </row>
    <row r="31" customFormat="false" ht="68.65" hidden="false" customHeight="false" outlineLevel="0" collapsed="false">
      <c r="A31" s="4" t="s">
        <v>717</v>
      </c>
      <c r="B31" s="11" t="s">
        <v>718</v>
      </c>
      <c r="C31" s="4" t="s">
        <v>60</v>
      </c>
      <c r="D31" s="12" t="n">
        <v>64</v>
      </c>
      <c r="E31" s="12" t="n">
        <f aca="false">D31/16</f>
        <v>4</v>
      </c>
      <c r="F31" s="4" t="s">
        <v>719</v>
      </c>
      <c r="G31" s="4" t="s">
        <v>691</v>
      </c>
      <c r="H31" s="4" t="s">
        <v>720</v>
      </c>
      <c r="I31" s="6" t="n">
        <v>37.39</v>
      </c>
      <c r="J31" s="6" t="n">
        <f aca="false">D31*I31</f>
        <v>2392.96</v>
      </c>
      <c r="K31" s="4" t="s">
        <v>169</v>
      </c>
    </row>
    <row r="32" customFormat="false" ht="57.45" hidden="false" customHeight="false" outlineLevel="0" collapsed="false">
      <c r="A32" s="4" t="s">
        <v>721</v>
      </c>
      <c r="B32" s="11" t="s">
        <v>722</v>
      </c>
      <c r="C32" s="4" t="s">
        <v>60</v>
      </c>
      <c r="D32" s="12" t="n">
        <v>80</v>
      </c>
      <c r="E32" s="12" t="n">
        <f aca="false">D32/16</f>
        <v>5</v>
      </c>
      <c r="F32" s="4" t="s">
        <v>723</v>
      </c>
      <c r="G32" s="4" t="s">
        <v>691</v>
      </c>
      <c r="H32" s="4" t="s">
        <v>724</v>
      </c>
      <c r="I32" s="6" t="n">
        <v>26.49</v>
      </c>
      <c r="J32" s="6" t="n">
        <f aca="false">D32*I32</f>
        <v>2119.2</v>
      </c>
      <c r="K32" s="4" t="s">
        <v>169</v>
      </c>
    </row>
    <row r="33" customFormat="false" ht="57.45" hidden="false" customHeight="false" outlineLevel="0" collapsed="false">
      <c r="A33" s="4" t="s">
        <v>725</v>
      </c>
      <c r="B33" s="11" t="s">
        <v>726</v>
      </c>
      <c r="C33" s="4" t="s">
        <v>60</v>
      </c>
      <c r="D33" s="12" t="n">
        <v>33</v>
      </c>
      <c r="E33" s="12" t="n">
        <f aca="false">D33/16</f>
        <v>2.0625</v>
      </c>
      <c r="F33" s="4" t="s">
        <v>727</v>
      </c>
      <c r="G33" s="4"/>
      <c r="H33" s="4" t="s">
        <v>728</v>
      </c>
      <c r="I33" s="6" t="n">
        <v>24.13</v>
      </c>
      <c r="J33" s="6" t="n">
        <f aca="false">D33*I33</f>
        <v>796.29</v>
      </c>
      <c r="K33" s="4" t="s">
        <v>169</v>
      </c>
    </row>
    <row r="34" customFormat="false" ht="68.65" hidden="false" customHeight="false" outlineLevel="0" collapsed="false">
      <c r="A34" s="4" t="s">
        <v>729</v>
      </c>
      <c r="B34" s="11" t="s">
        <v>730</v>
      </c>
      <c r="C34" s="4" t="s">
        <v>60</v>
      </c>
      <c r="D34" s="12" t="n">
        <v>16</v>
      </c>
      <c r="E34" s="12" t="n">
        <f aca="false">D34/16</f>
        <v>1</v>
      </c>
      <c r="F34" s="4" t="s">
        <v>567</v>
      </c>
      <c r="G34" s="4"/>
      <c r="H34" s="4" t="s">
        <v>731</v>
      </c>
      <c r="I34" s="6" t="n">
        <v>729.6</v>
      </c>
      <c r="J34" s="6" t="n">
        <f aca="false">D34*I34</f>
        <v>11673.6</v>
      </c>
      <c r="K34" s="4" t="s">
        <v>169</v>
      </c>
    </row>
    <row r="35" customFormat="false" ht="46.25" hidden="false" customHeight="false" outlineLevel="0" collapsed="false">
      <c r="A35" s="4" t="s">
        <v>732</v>
      </c>
      <c r="B35" s="11" t="s">
        <v>733</v>
      </c>
      <c r="C35" s="4" t="s">
        <v>60</v>
      </c>
      <c r="D35" s="12" t="n">
        <v>16</v>
      </c>
      <c r="E35" s="12" t="n">
        <f aca="false">D35/16</f>
        <v>1</v>
      </c>
      <c r="F35" s="4" t="s">
        <v>567</v>
      </c>
      <c r="G35" s="4"/>
      <c r="H35" s="4" t="s">
        <v>734</v>
      </c>
      <c r="I35" s="6" t="n">
        <v>1242.13</v>
      </c>
      <c r="J35" s="6" t="n">
        <f aca="false">D35*I35</f>
        <v>19874.08</v>
      </c>
      <c r="K35" s="4" t="s">
        <v>169</v>
      </c>
    </row>
    <row r="36" customFormat="false" ht="57.45" hidden="false" customHeight="false" outlineLevel="0" collapsed="false">
      <c r="A36" s="4" t="s">
        <v>735</v>
      </c>
      <c r="B36" s="11" t="s">
        <v>736</v>
      </c>
      <c r="C36" s="4" t="s">
        <v>60</v>
      </c>
      <c r="D36" s="12" t="n">
        <v>16</v>
      </c>
      <c r="E36" s="12" t="n">
        <f aca="false">D36/16</f>
        <v>1</v>
      </c>
      <c r="F36" s="4" t="s">
        <v>567</v>
      </c>
      <c r="G36" s="4"/>
      <c r="H36" s="4" t="s">
        <v>737</v>
      </c>
      <c r="I36" s="6" t="n">
        <v>268.51</v>
      </c>
      <c r="J36" s="6" t="n">
        <f aca="false">D36*I36</f>
        <v>4296.16</v>
      </c>
      <c r="K36" s="4" t="s">
        <v>169</v>
      </c>
    </row>
    <row r="37" customFormat="false" ht="102.2" hidden="false" customHeight="false" outlineLevel="0" collapsed="false">
      <c r="A37" s="4" t="s">
        <v>738</v>
      </c>
      <c r="B37" s="11" t="s">
        <v>739</v>
      </c>
      <c r="C37" s="4" t="s">
        <v>60</v>
      </c>
      <c r="D37" s="12" t="n">
        <v>16</v>
      </c>
      <c r="E37" s="12" t="n">
        <f aca="false">D37/16</f>
        <v>1</v>
      </c>
      <c r="F37" s="4" t="s">
        <v>567</v>
      </c>
      <c r="G37" s="4" t="s">
        <v>740</v>
      </c>
      <c r="H37" s="4" t="s">
        <v>741</v>
      </c>
      <c r="I37" s="6" t="n">
        <v>207.6</v>
      </c>
      <c r="J37" s="6" t="n">
        <f aca="false">D37*I37</f>
        <v>3321.6</v>
      </c>
      <c r="K37" s="13" t="s">
        <v>74</v>
      </c>
    </row>
    <row r="38" customFormat="false" ht="91" hidden="false" customHeight="false" outlineLevel="0" collapsed="false">
      <c r="A38" s="4" t="s">
        <v>742</v>
      </c>
      <c r="B38" s="11" t="s">
        <v>743</v>
      </c>
      <c r="C38" s="4" t="s">
        <v>60</v>
      </c>
      <c r="D38" s="12" t="n">
        <v>16</v>
      </c>
      <c r="E38" s="12" t="n">
        <f aca="false">D38/16</f>
        <v>1</v>
      </c>
      <c r="F38" s="4" t="s">
        <v>567</v>
      </c>
      <c r="G38" s="4" t="s">
        <v>744</v>
      </c>
      <c r="H38" s="4" t="s">
        <v>745</v>
      </c>
      <c r="I38" s="6" t="n">
        <v>136.77</v>
      </c>
      <c r="J38" s="6" t="n">
        <f aca="false">D38*I38</f>
        <v>2188.32</v>
      </c>
      <c r="K38" s="13" t="s">
        <v>74</v>
      </c>
    </row>
    <row r="39" customFormat="false" ht="91" hidden="false" customHeight="false" outlineLevel="0" collapsed="false">
      <c r="A39" s="4" t="s">
        <v>746</v>
      </c>
      <c r="B39" s="11" t="s">
        <v>747</v>
      </c>
      <c r="C39" s="4" t="s">
        <v>60</v>
      </c>
      <c r="D39" s="12" t="n">
        <v>16</v>
      </c>
      <c r="E39" s="12" t="n">
        <f aca="false">D39/16</f>
        <v>1</v>
      </c>
      <c r="F39" s="4" t="s">
        <v>567</v>
      </c>
      <c r="G39" s="4" t="s">
        <v>748</v>
      </c>
      <c r="H39" s="4" t="s">
        <v>749</v>
      </c>
      <c r="I39" s="6" t="n">
        <v>108.96</v>
      </c>
      <c r="J39" s="6" t="n">
        <f aca="false">D39*I39</f>
        <v>1743.36</v>
      </c>
      <c r="K39" s="4" t="s">
        <v>169</v>
      </c>
    </row>
    <row r="40" customFormat="false" ht="169.4" hidden="false" customHeight="false" outlineLevel="0" collapsed="false">
      <c r="A40" s="4" t="s">
        <v>750</v>
      </c>
      <c r="B40" s="11" t="s">
        <v>751</v>
      </c>
      <c r="C40" s="4" t="s">
        <v>128</v>
      </c>
      <c r="D40" s="12" t="n">
        <v>94.4</v>
      </c>
      <c r="E40" s="12" t="n">
        <f aca="false">D40/16</f>
        <v>5.9</v>
      </c>
      <c r="F40" s="4" t="s">
        <v>752</v>
      </c>
      <c r="G40" s="4" t="s">
        <v>753</v>
      </c>
      <c r="H40" s="4" t="s">
        <v>754</v>
      </c>
      <c r="I40" s="6" t="n">
        <v>9.3</v>
      </c>
      <c r="J40" s="6" t="n">
        <f aca="false">D40*I40</f>
        <v>877.92</v>
      </c>
      <c r="K40" s="13" t="s">
        <v>74</v>
      </c>
    </row>
    <row r="41" customFormat="false" ht="180.55" hidden="false" customHeight="false" outlineLevel="0" collapsed="false">
      <c r="A41" s="4" t="s">
        <v>755</v>
      </c>
      <c r="B41" s="11" t="s">
        <v>756</v>
      </c>
      <c r="C41" s="4" t="s">
        <v>128</v>
      </c>
      <c r="D41" s="12" t="n">
        <v>6.4</v>
      </c>
      <c r="E41" s="12" t="n">
        <f aca="false">D41/16</f>
        <v>0.4</v>
      </c>
      <c r="F41" s="4" t="s">
        <v>757</v>
      </c>
      <c r="G41" s="4" t="s">
        <v>753</v>
      </c>
      <c r="H41" s="4" t="s">
        <v>758</v>
      </c>
      <c r="I41" s="6" t="n">
        <v>10.01</v>
      </c>
      <c r="J41" s="6" t="n">
        <f aca="false">D41*I41</f>
        <v>64.064</v>
      </c>
      <c r="K41" s="13" t="s">
        <v>74</v>
      </c>
    </row>
    <row r="42" customFormat="false" ht="102.2" hidden="false" customHeight="false" outlineLevel="0" collapsed="false">
      <c r="A42" s="4" t="s">
        <v>759</v>
      </c>
      <c r="B42" s="11" t="s">
        <v>760</v>
      </c>
      <c r="C42" s="4" t="s">
        <v>128</v>
      </c>
      <c r="D42" s="12" t="n">
        <v>144.8</v>
      </c>
      <c r="E42" s="12" t="n">
        <f aca="false">D42/16</f>
        <v>9.05</v>
      </c>
      <c r="F42" s="4" t="s">
        <v>761</v>
      </c>
      <c r="G42" s="4"/>
      <c r="H42" s="4" t="s">
        <v>762</v>
      </c>
      <c r="I42" s="6" t="n">
        <v>12.11</v>
      </c>
      <c r="J42" s="6" t="n">
        <f aca="false">D42*I42</f>
        <v>1753.528</v>
      </c>
      <c r="K42" s="4" t="s">
        <v>169</v>
      </c>
    </row>
    <row r="43" customFormat="false" ht="91" hidden="false" customHeight="false" outlineLevel="0" collapsed="false">
      <c r="A43" s="4" t="s">
        <v>763</v>
      </c>
      <c r="B43" s="11" t="s">
        <v>764</v>
      </c>
      <c r="C43" s="4" t="s">
        <v>60</v>
      </c>
      <c r="D43" s="12" t="n">
        <v>16</v>
      </c>
      <c r="E43" s="12" t="n">
        <f aca="false">D43/16</f>
        <v>1</v>
      </c>
      <c r="F43" s="4" t="s">
        <v>567</v>
      </c>
      <c r="G43" s="4" t="s">
        <v>765</v>
      </c>
      <c r="H43" s="4" t="s">
        <v>766</v>
      </c>
      <c r="I43" s="6" t="n">
        <v>43.78</v>
      </c>
      <c r="J43" s="6" t="n">
        <f aca="false">D43*I43</f>
        <v>700.48</v>
      </c>
      <c r="K43" s="4" t="s">
        <v>169</v>
      </c>
    </row>
    <row r="44" customFormat="false" ht="124.6" hidden="false" customHeight="false" outlineLevel="0" collapsed="false">
      <c r="A44" s="4" t="s">
        <v>767</v>
      </c>
      <c r="B44" s="11" t="s">
        <v>768</v>
      </c>
      <c r="C44" s="4" t="s">
        <v>128</v>
      </c>
      <c r="D44" s="12" t="n">
        <v>2884.48</v>
      </c>
      <c r="E44" s="12" t="n">
        <f aca="false">D44/16</f>
        <v>180.28</v>
      </c>
      <c r="F44" s="4" t="s">
        <v>769</v>
      </c>
      <c r="G44" s="4"/>
      <c r="H44" s="4" t="s">
        <v>770</v>
      </c>
      <c r="I44" s="6" t="n">
        <v>1.44</v>
      </c>
      <c r="J44" s="6" t="n">
        <f aca="false">D44*I44</f>
        <v>4153.6512</v>
      </c>
      <c r="K44" s="4" t="s">
        <v>169</v>
      </c>
    </row>
    <row r="45" customFormat="false" ht="91" hidden="false" customHeight="false" outlineLevel="0" collapsed="false">
      <c r="A45" s="4" t="s">
        <v>771</v>
      </c>
      <c r="B45" s="11" t="s">
        <v>772</v>
      </c>
      <c r="C45" s="4" t="s">
        <v>60</v>
      </c>
      <c r="D45" s="12" t="n">
        <v>272</v>
      </c>
      <c r="E45" s="12" t="n">
        <f aca="false">D45/16</f>
        <v>17</v>
      </c>
      <c r="F45" s="4" t="s">
        <v>773</v>
      </c>
      <c r="G45" s="4" t="s">
        <v>465</v>
      </c>
      <c r="H45" s="4" t="s">
        <v>774</v>
      </c>
      <c r="I45" s="6" t="n">
        <v>5.9</v>
      </c>
      <c r="J45" s="6" t="n">
        <f aca="false">D45*I45</f>
        <v>1604.8</v>
      </c>
      <c r="K45" s="4" t="s">
        <v>169</v>
      </c>
    </row>
    <row r="46" customFormat="false" ht="102.2" hidden="false" customHeight="false" outlineLevel="0" collapsed="false">
      <c r="A46" s="4" t="s">
        <v>775</v>
      </c>
      <c r="B46" s="11" t="s">
        <v>776</v>
      </c>
      <c r="C46" s="4" t="s">
        <v>60</v>
      </c>
      <c r="D46" s="12" t="n">
        <v>16</v>
      </c>
      <c r="E46" s="12" t="n">
        <f aca="false">D46/16</f>
        <v>1</v>
      </c>
      <c r="F46" s="4" t="s">
        <v>567</v>
      </c>
      <c r="G46" s="4"/>
      <c r="H46" s="4" t="s">
        <v>777</v>
      </c>
      <c r="I46" s="6" t="n">
        <v>340.87</v>
      </c>
      <c r="J46" s="6" t="n">
        <f aca="false">D46*I46</f>
        <v>5453.92</v>
      </c>
      <c r="K46" s="4" t="s">
        <v>169</v>
      </c>
    </row>
    <row r="47" customFormat="false" ht="91" hidden="false" customHeight="false" outlineLevel="0" collapsed="false">
      <c r="A47" s="4" t="s">
        <v>778</v>
      </c>
      <c r="B47" s="11" t="s">
        <v>779</v>
      </c>
      <c r="C47" s="4" t="s">
        <v>128</v>
      </c>
      <c r="D47" s="12" t="n">
        <v>1584.16</v>
      </c>
      <c r="E47" s="12" t="n">
        <f aca="false">D47/16</f>
        <v>99.01</v>
      </c>
      <c r="F47" s="4" t="s">
        <v>780</v>
      </c>
      <c r="G47" s="4" t="s">
        <v>465</v>
      </c>
      <c r="H47" s="4" t="s">
        <v>781</v>
      </c>
      <c r="I47" s="6" t="n">
        <v>1.18</v>
      </c>
      <c r="J47" s="6" t="n">
        <f aca="false">D47*I47</f>
        <v>1869.3088</v>
      </c>
      <c r="K47" s="4" t="s">
        <v>169</v>
      </c>
    </row>
    <row r="48" customFormat="false" ht="91" hidden="false" customHeight="false" outlineLevel="0" collapsed="false">
      <c r="A48" s="4" t="s">
        <v>782</v>
      </c>
      <c r="B48" s="11" t="s">
        <v>783</v>
      </c>
      <c r="C48" s="4" t="s">
        <v>128</v>
      </c>
      <c r="D48" s="12" t="n">
        <v>434.56</v>
      </c>
      <c r="E48" s="12" t="n">
        <f aca="false">D48/16</f>
        <v>27.16</v>
      </c>
      <c r="F48" s="4" t="s">
        <v>784</v>
      </c>
      <c r="G48" s="4" t="s">
        <v>785</v>
      </c>
      <c r="H48" s="4" t="s">
        <v>786</v>
      </c>
      <c r="I48" s="6" t="n">
        <v>1.31</v>
      </c>
      <c r="J48" s="6" t="n">
        <f aca="false">D48*I48</f>
        <v>569.2736</v>
      </c>
      <c r="K48" s="4" t="s">
        <v>169</v>
      </c>
    </row>
    <row r="49" customFormat="false" ht="68.65" hidden="false" customHeight="false" outlineLevel="0" collapsed="false">
      <c r="A49" s="4" t="s">
        <v>787</v>
      </c>
      <c r="B49" s="11" t="s">
        <v>788</v>
      </c>
      <c r="C49" s="4" t="s">
        <v>60</v>
      </c>
      <c r="D49" s="12" t="n">
        <v>16</v>
      </c>
      <c r="E49" s="12" t="n">
        <f aca="false">D49/16</f>
        <v>1</v>
      </c>
      <c r="F49" s="4" t="s">
        <v>567</v>
      </c>
      <c r="G49" s="4"/>
      <c r="H49" s="4" t="s">
        <v>789</v>
      </c>
      <c r="I49" s="6" t="n">
        <v>21.3</v>
      </c>
      <c r="J49" s="6" t="n">
        <f aca="false">D49*I49</f>
        <v>340.8</v>
      </c>
      <c r="K49" s="4" t="s">
        <v>169</v>
      </c>
    </row>
    <row r="50" customFormat="false" ht="79.85" hidden="false" customHeight="false" outlineLevel="0" collapsed="false">
      <c r="A50" s="4" t="s">
        <v>790</v>
      </c>
      <c r="B50" s="11" t="s">
        <v>791</v>
      </c>
      <c r="C50" s="4" t="s">
        <v>60</v>
      </c>
      <c r="D50" s="12" t="n">
        <v>16</v>
      </c>
      <c r="E50" s="12" t="n">
        <f aca="false">D50/16</f>
        <v>1</v>
      </c>
      <c r="F50" s="4" t="s">
        <v>567</v>
      </c>
      <c r="G50" s="4" t="s">
        <v>792</v>
      </c>
      <c r="H50" s="4" t="s">
        <v>793</v>
      </c>
      <c r="I50" s="6" t="n">
        <v>9.63</v>
      </c>
      <c r="J50" s="6" t="n">
        <f aca="false">D50*I50</f>
        <v>154.08</v>
      </c>
      <c r="K50" s="4" t="s">
        <v>169</v>
      </c>
    </row>
    <row r="51" customFormat="false" ht="46.25" hidden="false" customHeight="false" outlineLevel="0" collapsed="false">
      <c r="A51" s="4" t="s">
        <v>794</v>
      </c>
      <c r="B51" s="11" t="s">
        <v>795</v>
      </c>
      <c r="C51" s="4" t="s">
        <v>60</v>
      </c>
      <c r="D51" s="12" t="n">
        <v>80</v>
      </c>
      <c r="E51" s="12" t="n">
        <f aca="false">D51/16</f>
        <v>5</v>
      </c>
      <c r="F51" s="4" t="s">
        <v>796</v>
      </c>
      <c r="G51" s="4"/>
      <c r="H51" s="4" t="s">
        <v>797</v>
      </c>
      <c r="I51" s="6" t="n">
        <v>28.95</v>
      </c>
      <c r="J51" s="6" t="n">
        <f aca="false">D51*I51</f>
        <v>2316</v>
      </c>
      <c r="K51" s="4" t="s">
        <v>169</v>
      </c>
    </row>
    <row r="52" customFormat="false" ht="46.25" hidden="false" customHeight="false" outlineLevel="0" collapsed="false">
      <c r="A52" s="4" t="s">
        <v>798</v>
      </c>
      <c r="B52" s="11" t="s">
        <v>799</v>
      </c>
      <c r="C52" s="4" t="s">
        <v>60</v>
      </c>
      <c r="D52" s="12" t="n">
        <v>80</v>
      </c>
      <c r="E52" s="12" t="n">
        <f aca="false">D52/16</f>
        <v>5</v>
      </c>
      <c r="F52" s="4" t="s">
        <v>796</v>
      </c>
      <c r="G52" s="4"/>
      <c r="H52" s="4" t="s">
        <v>800</v>
      </c>
      <c r="I52" s="6" t="n">
        <v>53.62</v>
      </c>
      <c r="J52" s="6" t="n">
        <f aca="false">D52*I52</f>
        <v>4289.6</v>
      </c>
      <c r="K52" s="4" t="s">
        <v>169</v>
      </c>
    </row>
    <row r="53" customFormat="false" ht="57.45" hidden="false" customHeight="false" outlineLevel="0" collapsed="false">
      <c r="A53" s="4" t="s">
        <v>801</v>
      </c>
      <c r="B53" s="11" t="s">
        <v>802</v>
      </c>
      <c r="C53" s="4" t="s">
        <v>60</v>
      </c>
      <c r="D53" s="12" t="n">
        <v>80</v>
      </c>
      <c r="E53" s="12" t="n">
        <f aca="false">D53/16</f>
        <v>5</v>
      </c>
      <c r="F53" s="4" t="s">
        <v>796</v>
      </c>
      <c r="G53" s="4"/>
      <c r="H53" s="4" t="s">
        <v>803</v>
      </c>
      <c r="I53" s="6" t="n">
        <v>56.18</v>
      </c>
      <c r="J53" s="6" t="n">
        <f aca="false">D53*I53</f>
        <v>4494.4</v>
      </c>
      <c r="K53" s="4" t="s">
        <v>169</v>
      </c>
    </row>
    <row r="54" customFormat="false" ht="91" hidden="false" customHeight="false" outlineLevel="0" collapsed="false">
      <c r="A54" s="4" t="s">
        <v>804</v>
      </c>
      <c r="B54" s="11" t="s">
        <v>805</v>
      </c>
      <c r="C54" s="4" t="s">
        <v>128</v>
      </c>
      <c r="D54" s="12" t="n">
        <v>2237.44</v>
      </c>
      <c r="E54" s="12" t="n">
        <f aca="false">D54/16</f>
        <v>139.84</v>
      </c>
      <c r="F54" s="4" t="s">
        <v>806</v>
      </c>
      <c r="G54" s="4"/>
      <c r="H54" s="4" t="s">
        <v>807</v>
      </c>
      <c r="I54" s="6" t="n">
        <v>1.82</v>
      </c>
      <c r="J54" s="6" t="n">
        <f aca="false">D54*I54</f>
        <v>4072.1408</v>
      </c>
      <c r="K54" s="4" t="s">
        <v>169</v>
      </c>
    </row>
    <row r="55" customFormat="false" ht="79.85" hidden="false" customHeight="false" outlineLevel="0" collapsed="false">
      <c r="A55" s="4" t="s">
        <v>808</v>
      </c>
      <c r="B55" s="11" t="s">
        <v>809</v>
      </c>
      <c r="C55" s="4" t="s">
        <v>60</v>
      </c>
      <c r="D55" s="12" t="n">
        <v>16</v>
      </c>
      <c r="E55" s="12" t="n">
        <f aca="false">D55/16</f>
        <v>1</v>
      </c>
      <c r="F55" s="4" t="s">
        <v>567</v>
      </c>
      <c r="G55" s="4" t="s">
        <v>810</v>
      </c>
      <c r="H55" s="4" t="s">
        <v>811</v>
      </c>
      <c r="I55" s="6" t="n">
        <v>12.59</v>
      </c>
      <c r="J55" s="6" t="n">
        <f aca="false">D55*I55</f>
        <v>201.44</v>
      </c>
      <c r="K55" s="4" t="s">
        <v>169</v>
      </c>
    </row>
    <row r="56" customFormat="false" ht="124.6" hidden="false" customHeight="false" outlineLevel="0" collapsed="false">
      <c r="A56" s="4" t="s">
        <v>812</v>
      </c>
      <c r="B56" s="11" t="s">
        <v>813</v>
      </c>
      <c r="C56" s="4" t="s">
        <v>60</v>
      </c>
      <c r="D56" s="12" t="n">
        <v>16</v>
      </c>
      <c r="E56" s="12" t="n">
        <f aca="false">D56/16</f>
        <v>1</v>
      </c>
      <c r="F56" s="4" t="s">
        <v>567</v>
      </c>
      <c r="G56" s="4" t="s">
        <v>465</v>
      </c>
      <c r="H56" s="4" t="s">
        <v>814</v>
      </c>
      <c r="I56" s="6" t="n">
        <v>26.94</v>
      </c>
      <c r="J56" s="6" t="n">
        <f aca="false">D56*I56</f>
        <v>431.04</v>
      </c>
      <c r="K56" s="4" t="s">
        <v>169</v>
      </c>
    </row>
    <row r="57" customFormat="false" ht="91" hidden="false" customHeight="false" outlineLevel="0" collapsed="false">
      <c r="A57" s="4" t="s">
        <v>815</v>
      </c>
      <c r="B57" s="11" t="s">
        <v>816</v>
      </c>
      <c r="C57" s="4" t="s">
        <v>128</v>
      </c>
      <c r="D57" s="12" t="n">
        <v>182.08</v>
      </c>
      <c r="E57" s="12" t="n">
        <f aca="false">D57/16</f>
        <v>11.38</v>
      </c>
      <c r="F57" s="4" t="s">
        <v>817</v>
      </c>
      <c r="G57" s="4"/>
      <c r="H57" s="4" t="s">
        <v>818</v>
      </c>
      <c r="I57" s="6" t="n">
        <v>2.42</v>
      </c>
      <c r="J57" s="6" t="n">
        <f aca="false">D57*I57</f>
        <v>440.6336</v>
      </c>
      <c r="K57" s="4" t="s">
        <v>169</v>
      </c>
    </row>
    <row r="58" customFormat="false" ht="68.65" hidden="false" customHeight="false" outlineLevel="0" collapsed="false">
      <c r="A58" s="4" t="s">
        <v>819</v>
      </c>
      <c r="B58" s="11" t="s">
        <v>820</v>
      </c>
      <c r="C58" s="4" t="s">
        <v>60</v>
      </c>
      <c r="D58" s="12" t="n">
        <v>16</v>
      </c>
      <c r="E58" s="12" t="n">
        <f aca="false">D58/16</f>
        <v>1</v>
      </c>
      <c r="F58" s="4" t="s">
        <v>567</v>
      </c>
      <c r="G58" s="4"/>
      <c r="H58" s="4" t="s">
        <v>821</v>
      </c>
      <c r="I58" s="6" t="n">
        <v>25.88</v>
      </c>
      <c r="J58" s="6" t="n">
        <f aca="false">D58*I58</f>
        <v>414.08</v>
      </c>
      <c r="K58" s="4" t="s">
        <v>169</v>
      </c>
    </row>
    <row r="59" customFormat="false" ht="57.45" hidden="false" customHeight="false" outlineLevel="0" collapsed="false">
      <c r="A59" s="4" t="s">
        <v>822</v>
      </c>
      <c r="B59" s="11" t="s">
        <v>823</v>
      </c>
      <c r="C59" s="4" t="s">
        <v>60</v>
      </c>
      <c r="D59" s="12" t="n">
        <v>16</v>
      </c>
      <c r="E59" s="12" t="n">
        <f aca="false">D59/16</f>
        <v>1</v>
      </c>
      <c r="F59" s="4" t="s">
        <v>567</v>
      </c>
      <c r="G59" s="4"/>
      <c r="H59" s="4" t="s">
        <v>824</v>
      </c>
      <c r="I59" s="6" t="n">
        <v>17.2</v>
      </c>
      <c r="J59" s="6" t="n">
        <f aca="false">D59*I59</f>
        <v>275.2</v>
      </c>
      <c r="K59" s="4" t="s">
        <v>169</v>
      </c>
    </row>
    <row r="60" s="7" customFormat="true" ht="15" hidden="false" customHeight="false" outlineLevel="0" collapsed="false">
      <c r="B60" s="7" t="s">
        <v>92</v>
      </c>
      <c r="J60" s="8" t="n">
        <f aca="false">SUM(J5:J59)</f>
        <v>237477.8985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825</v>
      </c>
    </row>
    <row r="2" customFormat="false" ht="15" hidden="false" customHeight="false" outlineLevel="0" collapsed="false">
      <c r="A2" s="2" t="s">
        <v>826</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113.4" hidden="false" customHeight="false" outlineLevel="0" collapsed="false">
      <c r="A5" s="4" t="s">
        <v>827</v>
      </c>
      <c r="B5" s="11" t="s">
        <v>828</v>
      </c>
      <c r="C5" s="4" t="s">
        <v>60</v>
      </c>
      <c r="D5" s="12" t="n">
        <v>17</v>
      </c>
      <c r="E5" s="12" t="n">
        <f aca="false">D5/16</f>
        <v>1.0625</v>
      </c>
      <c r="F5" s="4" t="s">
        <v>829</v>
      </c>
      <c r="G5" s="4"/>
      <c r="H5" s="4" t="s">
        <v>830</v>
      </c>
      <c r="I5" s="6" t="n">
        <v>274.51</v>
      </c>
      <c r="J5" s="6" t="n">
        <f aca="false">D5*I5</f>
        <v>4666.67</v>
      </c>
      <c r="K5" s="4" t="s">
        <v>169</v>
      </c>
    </row>
    <row r="6" customFormat="false" ht="46.25" hidden="false" customHeight="false" outlineLevel="0" collapsed="false">
      <c r="A6" s="4" t="s">
        <v>831</v>
      </c>
      <c r="B6" s="11" t="s">
        <v>832</v>
      </c>
      <c r="C6" s="4" t="s">
        <v>60</v>
      </c>
      <c r="D6" s="12" t="n">
        <v>17</v>
      </c>
      <c r="E6" s="12" t="n">
        <f aca="false">D6/16</f>
        <v>1.0625</v>
      </c>
      <c r="F6" s="4" t="s">
        <v>829</v>
      </c>
      <c r="G6" s="4"/>
      <c r="H6" s="4" t="s">
        <v>833</v>
      </c>
      <c r="I6" s="6" t="n">
        <v>143.38</v>
      </c>
      <c r="J6" s="6" t="n">
        <f aca="false">D6*I6</f>
        <v>2437.46</v>
      </c>
      <c r="K6" s="4" t="s">
        <v>169</v>
      </c>
    </row>
    <row r="7" customFormat="false" ht="303.7" hidden="false" customHeight="false" outlineLevel="0" collapsed="false">
      <c r="A7" s="4" t="s">
        <v>834</v>
      </c>
      <c r="B7" s="11" t="s">
        <v>835</v>
      </c>
      <c r="C7" s="4" t="s">
        <v>60</v>
      </c>
      <c r="D7" s="12" t="n">
        <v>17</v>
      </c>
      <c r="E7" s="12" t="n">
        <f aca="false">D7/16</f>
        <v>1.0625</v>
      </c>
      <c r="F7" s="4" t="s">
        <v>617</v>
      </c>
      <c r="G7" s="4" t="s">
        <v>836</v>
      </c>
      <c r="H7" s="4" t="s">
        <v>837</v>
      </c>
      <c r="I7" s="6" t="n">
        <v>358.21</v>
      </c>
      <c r="J7" s="6" t="n">
        <f aca="false">D7*I7</f>
        <v>6089.57</v>
      </c>
      <c r="K7" s="13" t="s">
        <v>74</v>
      </c>
    </row>
    <row r="8" customFormat="false" ht="169.4" hidden="false" customHeight="false" outlineLevel="0" collapsed="false">
      <c r="A8" s="4" t="s">
        <v>838</v>
      </c>
      <c r="B8" s="11" t="s">
        <v>839</v>
      </c>
      <c r="C8" s="4" t="s">
        <v>60</v>
      </c>
      <c r="D8" s="12" t="n">
        <v>17</v>
      </c>
      <c r="E8" s="12" t="n">
        <f aca="false">D8/16</f>
        <v>1.0625</v>
      </c>
      <c r="F8" s="4" t="s">
        <v>617</v>
      </c>
      <c r="G8" s="4"/>
      <c r="H8" s="4" t="s">
        <v>840</v>
      </c>
      <c r="I8" s="6" t="n">
        <v>319.66</v>
      </c>
      <c r="J8" s="6" t="n">
        <f aca="false">D8*I8</f>
        <v>5434.22</v>
      </c>
      <c r="K8" s="13" t="s">
        <v>74</v>
      </c>
    </row>
    <row r="9" customFormat="false" ht="124.6" hidden="false" customHeight="false" outlineLevel="0" collapsed="false">
      <c r="A9" s="4" t="s">
        <v>841</v>
      </c>
      <c r="B9" s="11" t="s">
        <v>842</v>
      </c>
      <c r="C9" s="4" t="s">
        <v>60</v>
      </c>
      <c r="D9" s="12" t="n">
        <v>17</v>
      </c>
      <c r="E9" s="12" t="n">
        <f aca="false">D9/16</f>
        <v>1.0625</v>
      </c>
      <c r="F9" s="4" t="s">
        <v>617</v>
      </c>
      <c r="G9" s="4"/>
      <c r="H9" s="4" t="s">
        <v>843</v>
      </c>
      <c r="I9" s="6" t="n">
        <v>98.79</v>
      </c>
      <c r="J9" s="6" t="n">
        <f aca="false">D9*I9</f>
        <v>1679.43</v>
      </c>
      <c r="K9" s="13" t="s">
        <v>74</v>
      </c>
    </row>
    <row r="10" customFormat="false" ht="46.25" hidden="false" customHeight="false" outlineLevel="0" collapsed="false">
      <c r="A10" s="4" t="s">
        <v>844</v>
      </c>
      <c r="B10" s="11" t="s">
        <v>845</v>
      </c>
      <c r="C10" s="4" t="s">
        <v>60</v>
      </c>
      <c r="D10" s="12" t="n">
        <v>17</v>
      </c>
      <c r="E10" s="12" t="n">
        <f aca="false">D10/16</f>
        <v>1.0625</v>
      </c>
      <c r="F10" s="4" t="s">
        <v>617</v>
      </c>
      <c r="G10" s="4"/>
      <c r="H10" s="4" t="s">
        <v>846</v>
      </c>
      <c r="I10" s="6" t="n">
        <v>62.51</v>
      </c>
      <c r="J10" s="6" t="n">
        <f aca="false">D10*I10</f>
        <v>1062.67</v>
      </c>
      <c r="K10" s="13" t="s">
        <v>74</v>
      </c>
    </row>
    <row r="11" customFormat="false" ht="124.6" hidden="false" customHeight="false" outlineLevel="0" collapsed="false">
      <c r="A11" s="4" t="s">
        <v>847</v>
      </c>
      <c r="B11" s="11" t="s">
        <v>848</v>
      </c>
      <c r="C11" s="4" t="s">
        <v>60</v>
      </c>
      <c r="D11" s="12" t="n">
        <v>35</v>
      </c>
      <c r="E11" s="12" t="n">
        <f aca="false">D11/16</f>
        <v>2.1875</v>
      </c>
      <c r="F11" s="4" t="s">
        <v>849</v>
      </c>
      <c r="G11" s="4" t="s">
        <v>850</v>
      </c>
      <c r="H11" s="4" t="s">
        <v>851</v>
      </c>
      <c r="I11" s="6" t="n">
        <v>39.03</v>
      </c>
      <c r="J11" s="6" t="n">
        <f aca="false">D11*I11</f>
        <v>1366.05</v>
      </c>
      <c r="K11" s="13" t="s">
        <v>74</v>
      </c>
    </row>
    <row r="12" customFormat="false" ht="102.2" hidden="false" customHeight="false" outlineLevel="0" collapsed="false">
      <c r="A12" s="4" t="s">
        <v>852</v>
      </c>
      <c r="B12" s="11" t="s">
        <v>853</v>
      </c>
      <c r="C12" s="4" t="s">
        <v>128</v>
      </c>
      <c r="D12" s="12" t="n">
        <v>255.05</v>
      </c>
      <c r="E12" s="12" t="n">
        <f aca="false">D12/16</f>
        <v>15.940625</v>
      </c>
      <c r="F12" s="4" t="s">
        <v>854</v>
      </c>
      <c r="G12" s="4"/>
      <c r="H12" s="4" t="s">
        <v>855</v>
      </c>
      <c r="I12" s="6" t="n">
        <v>6.15</v>
      </c>
      <c r="J12" s="6" t="n">
        <f aca="false">D12*I12</f>
        <v>1568.5575</v>
      </c>
      <c r="K12" s="4" t="s">
        <v>169</v>
      </c>
    </row>
    <row r="13" customFormat="false" ht="102.2" hidden="false" customHeight="false" outlineLevel="0" collapsed="false">
      <c r="A13" s="4" t="s">
        <v>856</v>
      </c>
      <c r="B13" s="11" t="s">
        <v>857</v>
      </c>
      <c r="C13" s="4" t="s">
        <v>128</v>
      </c>
      <c r="D13" s="12" t="n">
        <v>100</v>
      </c>
      <c r="E13" s="12" t="n">
        <f aca="false">D13/16</f>
        <v>6.25</v>
      </c>
      <c r="F13" s="4" t="s">
        <v>858</v>
      </c>
      <c r="G13" s="4"/>
      <c r="H13" s="4" t="s">
        <v>859</v>
      </c>
      <c r="I13" s="6" t="n">
        <v>6.68</v>
      </c>
      <c r="J13" s="6" t="n">
        <f aca="false">D13*I13</f>
        <v>668</v>
      </c>
      <c r="K13" s="4" t="s">
        <v>169</v>
      </c>
    </row>
    <row r="14" customFormat="false" ht="102.2" hidden="false" customHeight="false" outlineLevel="0" collapsed="false">
      <c r="A14" s="4" t="s">
        <v>860</v>
      </c>
      <c r="B14" s="11" t="s">
        <v>861</v>
      </c>
      <c r="C14" s="4" t="s">
        <v>128</v>
      </c>
      <c r="D14" s="12" t="n">
        <v>2880.14</v>
      </c>
      <c r="E14" s="12" t="n">
        <f aca="false">D14/16</f>
        <v>180.00875</v>
      </c>
      <c r="F14" s="4" t="s">
        <v>862</v>
      </c>
      <c r="G14" s="4"/>
      <c r="H14" s="4" t="s">
        <v>863</v>
      </c>
      <c r="I14" s="6" t="n">
        <v>4.79</v>
      </c>
      <c r="J14" s="6" t="n">
        <f aca="false">D14*I14</f>
        <v>13795.8706</v>
      </c>
      <c r="K14" s="4" t="s">
        <v>169</v>
      </c>
    </row>
    <row r="15" customFormat="false" ht="57.45" hidden="false" customHeight="false" outlineLevel="0" collapsed="false">
      <c r="A15" s="4" t="s">
        <v>864</v>
      </c>
      <c r="B15" s="11" t="s">
        <v>865</v>
      </c>
      <c r="C15" s="4" t="s">
        <v>60</v>
      </c>
      <c r="D15" s="12" t="n">
        <v>18</v>
      </c>
      <c r="E15" s="12" t="n">
        <f aca="false">D15/16</f>
        <v>1.125</v>
      </c>
      <c r="F15" s="4" t="s">
        <v>866</v>
      </c>
      <c r="G15" s="4"/>
      <c r="H15" s="4" t="s">
        <v>867</v>
      </c>
      <c r="I15" s="6" t="n">
        <v>19.14</v>
      </c>
      <c r="J15" s="6" t="n">
        <f aca="false">D15*I15</f>
        <v>344.52</v>
      </c>
      <c r="K15" s="4" t="s">
        <v>169</v>
      </c>
    </row>
    <row r="16" customFormat="false" ht="57.45" hidden="false" customHeight="false" outlineLevel="0" collapsed="false">
      <c r="A16" s="4" t="s">
        <v>868</v>
      </c>
      <c r="B16" s="11" t="s">
        <v>869</v>
      </c>
      <c r="C16" s="4" t="s">
        <v>60</v>
      </c>
      <c r="D16" s="12" t="n">
        <v>210</v>
      </c>
      <c r="E16" s="12" t="n">
        <f aca="false">D16/16</f>
        <v>13.125</v>
      </c>
      <c r="F16" s="4" t="s">
        <v>870</v>
      </c>
      <c r="G16" s="4"/>
      <c r="H16" s="4" t="s">
        <v>871</v>
      </c>
      <c r="I16" s="6" t="n">
        <v>13.42</v>
      </c>
      <c r="J16" s="6" t="n">
        <f aca="false">D16*I16</f>
        <v>2818.2</v>
      </c>
      <c r="K16" s="4" t="s">
        <v>169</v>
      </c>
    </row>
    <row r="17" customFormat="false" ht="124.6" hidden="false" customHeight="false" outlineLevel="0" collapsed="false">
      <c r="A17" s="4" t="s">
        <v>872</v>
      </c>
      <c r="B17" s="11" t="s">
        <v>873</v>
      </c>
      <c r="C17" s="4" t="s">
        <v>128</v>
      </c>
      <c r="D17" s="12" t="n">
        <v>386.08</v>
      </c>
      <c r="E17" s="12" t="n">
        <f aca="false">D17/16</f>
        <v>24.13</v>
      </c>
      <c r="F17" s="4" t="s">
        <v>874</v>
      </c>
      <c r="G17" s="4"/>
      <c r="H17" s="4" t="s">
        <v>875</v>
      </c>
      <c r="I17" s="6" t="n">
        <v>8.04</v>
      </c>
      <c r="J17" s="6" t="n">
        <f aca="false">D17*I17</f>
        <v>3104.0832</v>
      </c>
      <c r="K17" s="4" t="s">
        <v>169</v>
      </c>
    </row>
    <row r="18" customFormat="false" ht="102.2" hidden="false" customHeight="false" outlineLevel="0" collapsed="false">
      <c r="A18" s="4" t="s">
        <v>876</v>
      </c>
      <c r="B18" s="11" t="s">
        <v>877</v>
      </c>
      <c r="C18" s="4" t="s">
        <v>128</v>
      </c>
      <c r="D18" s="12" t="n">
        <v>87.36</v>
      </c>
      <c r="E18" s="12" t="n">
        <f aca="false">D18/16</f>
        <v>5.46</v>
      </c>
      <c r="F18" s="4" t="s">
        <v>878</v>
      </c>
      <c r="G18" s="4"/>
      <c r="H18" s="4" t="s">
        <v>879</v>
      </c>
      <c r="I18" s="6" t="n">
        <v>18.62</v>
      </c>
      <c r="J18" s="6" t="n">
        <f aca="false">D18*I18</f>
        <v>1626.6432</v>
      </c>
      <c r="K18" s="4" t="s">
        <v>169</v>
      </c>
    </row>
    <row r="19" customFormat="false" ht="102.2" hidden="false" customHeight="false" outlineLevel="0" collapsed="false">
      <c r="A19" s="4" t="s">
        <v>880</v>
      </c>
      <c r="B19" s="11" t="s">
        <v>881</v>
      </c>
      <c r="C19" s="4" t="s">
        <v>128</v>
      </c>
      <c r="D19" s="12" t="n">
        <v>773.6</v>
      </c>
      <c r="E19" s="12" t="n">
        <f aca="false">D19/16</f>
        <v>48.35</v>
      </c>
      <c r="F19" s="4" t="s">
        <v>882</v>
      </c>
      <c r="G19" s="4"/>
      <c r="H19" s="4" t="s">
        <v>883</v>
      </c>
      <c r="I19" s="6" t="n">
        <v>20.37</v>
      </c>
      <c r="J19" s="6" t="n">
        <f aca="false">D19*I19</f>
        <v>15758.232</v>
      </c>
      <c r="K19" s="4" t="s">
        <v>169</v>
      </c>
    </row>
    <row r="20" customFormat="false" ht="102.2" hidden="false" customHeight="false" outlineLevel="0" collapsed="false">
      <c r="A20" s="4" t="s">
        <v>884</v>
      </c>
      <c r="B20" s="11" t="s">
        <v>885</v>
      </c>
      <c r="C20" s="4" t="s">
        <v>128</v>
      </c>
      <c r="D20" s="12" t="n">
        <v>22.56</v>
      </c>
      <c r="E20" s="12" t="n">
        <f aca="false">D20/16</f>
        <v>1.41</v>
      </c>
      <c r="F20" s="4" t="s">
        <v>886</v>
      </c>
      <c r="G20" s="4"/>
      <c r="H20" s="4" t="s">
        <v>887</v>
      </c>
      <c r="I20" s="6" t="n">
        <v>21.66</v>
      </c>
      <c r="J20" s="6" t="n">
        <f aca="false">D20*I20</f>
        <v>488.6496</v>
      </c>
      <c r="K20" s="4" t="s">
        <v>169</v>
      </c>
    </row>
    <row r="21" customFormat="false" ht="35.05" hidden="false" customHeight="false" outlineLevel="0" collapsed="false">
      <c r="A21" s="4" t="s">
        <v>888</v>
      </c>
      <c r="B21" s="11" t="s">
        <v>889</v>
      </c>
      <c r="C21" s="4" t="s">
        <v>60</v>
      </c>
      <c r="D21" s="12" t="n">
        <v>64</v>
      </c>
      <c r="E21" s="12" t="n">
        <f aca="false">D21/16</f>
        <v>4</v>
      </c>
      <c r="F21" s="4" t="s">
        <v>890</v>
      </c>
      <c r="G21" s="4"/>
      <c r="H21" s="4" t="s">
        <v>891</v>
      </c>
      <c r="I21" s="6" t="n">
        <v>8.26</v>
      </c>
      <c r="J21" s="6" t="n">
        <f aca="false">D21*I21</f>
        <v>528.64</v>
      </c>
      <c r="K21" s="4" t="s">
        <v>169</v>
      </c>
    </row>
    <row r="22" customFormat="false" ht="68.65" hidden="false" customHeight="false" outlineLevel="0" collapsed="false">
      <c r="A22" s="4" t="s">
        <v>892</v>
      </c>
      <c r="B22" s="11" t="s">
        <v>893</v>
      </c>
      <c r="C22" s="4" t="s">
        <v>60</v>
      </c>
      <c r="D22" s="12" t="n">
        <v>48</v>
      </c>
      <c r="E22" s="12" t="n">
        <f aca="false">D22/16</f>
        <v>3</v>
      </c>
      <c r="F22" s="4" t="s">
        <v>894</v>
      </c>
      <c r="G22" s="4"/>
      <c r="H22" s="4" t="s">
        <v>895</v>
      </c>
      <c r="I22" s="6" t="n">
        <v>18.55</v>
      </c>
      <c r="J22" s="6" t="n">
        <f aca="false">D22*I22</f>
        <v>890.4</v>
      </c>
      <c r="K22" s="4" t="s">
        <v>169</v>
      </c>
    </row>
    <row r="23" customFormat="false" ht="68.65" hidden="false" customHeight="false" outlineLevel="0" collapsed="false">
      <c r="A23" s="4" t="s">
        <v>896</v>
      </c>
      <c r="B23" s="11" t="s">
        <v>897</v>
      </c>
      <c r="C23" s="4" t="s">
        <v>128</v>
      </c>
      <c r="D23" s="12" t="n">
        <v>280</v>
      </c>
      <c r="E23" s="12" t="n">
        <f aca="false">D23/16</f>
        <v>17.5</v>
      </c>
      <c r="F23" s="4" t="s">
        <v>898</v>
      </c>
      <c r="G23" s="4"/>
      <c r="H23" s="4" t="s">
        <v>899</v>
      </c>
      <c r="I23" s="6" t="n">
        <v>5.25</v>
      </c>
      <c r="J23" s="6" t="n">
        <f aca="false">D23*I23</f>
        <v>1470</v>
      </c>
      <c r="K23" s="4" t="s">
        <v>169</v>
      </c>
    </row>
    <row r="24" customFormat="false" ht="91" hidden="false" customHeight="false" outlineLevel="0" collapsed="false">
      <c r="A24" s="4" t="s">
        <v>900</v>
      </c>
      <c r="B24" s="11" t="s">
        <v>901</v>
      </c>
      <c r="C24" s="4" t="s">
        <v>128</v>
      </c>
      <c r="D24" s="12" t="n">
        <v>440</v>
      </c>
      <c r="E24" s="12" t="n">
        <f aca="false">D24/16</f>
        <v>27.5</v>
      </c>
      <c r="F24" s="4" t="s">
        <v>902</v>
      </c>
      <c r="G24" s="4"/>
      <c r="H24" s="4" t="s">
        <v>903</v>
      </c>
      <c r="I24" s="6" t="n">
        <v>6.65</v>
      </c>
      <c r="J24" s="6" t="n">
        <f aca="false">D24*I24</f>
        <v>2926</v>
      </c>
      <c r="K24" s="4" t="s">
        <v>169</v>
      </c>
    </row>
    <row r="25" customFormat="false" ht="57.45" hidden="false" customHeight="false" outlineLevel="0" collapsed="false">
      <c r="A25" s="4" t="s">
        <v>904</v>
      </c>
      <c r="B25" s="11" t="s">
        <v>905</v>
      </c>
      <c r="C25" s="4" t="s">
        <v>128</v>
      </c>
      <c r="D25" s="12" t="n">
        <v>230.4</v>
      </c>
      <c r="E25" s="12" t="n">
        <f aca="false">D25/16</f>
        <v>14.4</v>
      </c>
      <c r="F25" s="4" t="s">
        <v>906</v>
      </c>
      <c r="G25" s="4"/>
      <c r="H25" s="4" t="s">
        <v>907</v>
      </c>
      <c r="I25" s="6" t="n">
        <v>3.01</v>
      </c>
      <c r="J25" s="6" t="n">
        <f aca="false">D25*I25</f>
        <v>693.504</v>
      </c>
      <c r="K25" s="4" t="s">
        <v>169</v>
      </c>
    </row>
    <row r="26" customFormat="false" ht="68.65" hidden="false" customHeight="false" outlineLevel="0" collapsed="false">
      <c r="A26" s="4" t="s">
        <v>908</v>
      </c>
      <c r="B26" s="11" t="s">
        <v>909</v>
      </c>
      <c r="C26" s="4" t="s">
        <v>128</v>
      </c>
      <c r="D26" s="12" t="n">
        <v>72</v>
      </c>
      <c r="E26" s="12" t="n">
        <f aca="false">D26/16</f>
        <v>4.5</v>
      </c>
      <c r="F26" s="4" t="s">
        <v>910</v>
      </c>
      <c r="G26" s="4"/>
      <c r="H26" s="4" t="s">
        <v>911</v>
      </c>
      <c r="I26" s="6" t="n">
        <v>15.13</v>
      </c>
      <c r="J26" s="6" t="n">
        <f aca="false">D26*I26</f>
        <v>1089.36</v>
      </c>
      <c r="K26" s="4" t="s">
        <v>169</v>
      </c>
    </row>
    <row r="27" customFormat="false" ht="46.25" hidden="false" customHeight="false" outlineLevel="0" collapsed="false">
      <c r="A27" s="4" t="s">
        <v>912</v>
      </c>
      <c r="B27" s="11" t="s">
        <v>913</v>
      </c>
      <c r="C27" s="4" t="s">
        <v>60</v>
      </c>
      <c r="D27" s="12" t="n">
        <v>48</v>
      </c>
      <c r="E27" s="12" t="n">
        <f aca="false">D27/16</f>
        <v>3</v>
      </c>
      <c r="F27" s="4" t="s">
        <v>914</v>
      </c>
      <c r="G27" s="4"/>
      <c r="H27" s="4" t="s">
        <v>915</v>
      </c>
      <c r="I27" s="6" t="n">
        <v>11.21</v>
      </c>
      <c r="J27" s="6" t="n">
        <f aca="false">D27*I27</f>
        <v>538.08</v>
      </c>
      <c r="K27" s="4" t="s">
        <v>169</v>
      </c>
    </row>
    <row r="28" customFormat="false" ht="57.45" hidden="false" customHeight="false" outlineLevel="0" collapsed="false">
      <c r="A28" s="4" t="s">
        <v>916</v>
      </c>
      <c r="B28" s="11" t="s">
        <v>917</v>
      </c>
      <c r="C28" s="4" t="s">
        <v>60</v>
      </c>
      <c r="D28" s="12" t="n">
        <v>48</v>
      </c>
      <c r="E28" s="12" t="n">
        <f aca="false">D28/16</f>
        <v>3</v>
      </c>
      <c r="F28" s="4" t="s">
        <v>894</v>
      </c>
      <c r="G28" s="4" t="s">
        <v>465</v>
      </c>
      <c r="H28" s="4" t="s">
        <v>918</v>
      </c>
      <c r="I28" s="6" t="n">
        <v>208.67</v>
      </c>
      <c r="J28" s="6" t="n">
        <f aca="false">D28*I28</f>
        <v>10016.16</v>
      </c>
      <c r="K28" s="4" t="s">
        <v>169</v>
      </c>
    </row>
    <row r="29" customFormat="false" ht="57.45" hidden="false" customHeight="false" outlineLevel="0" collapsed="false">
      <c r="A29" s="4" t="s">
        <v>919</v>
      </c>
      <c r="B29" s="11" t="s">
        <v>920</v>
      </c>
      <c r="C29" s="4" t="s">
        <v>60</v>
      </c>
      <c r="D29" s="12" t="n">
        <v>16</v>
      </c>
      <c r="E29" s="12" t="n">
        <f aca="false">D29/16</f>
        <v>1</v>
      </c>
      <c r="F29" s="4" t="s">
        <v>921</v>
      </c>
      <c r="G29" s="4" t="s">
        <v>922</v>
      </c>
      <c r="H29" s="4" t="s">
        <v>923</v>
      </c>
      <c r="I29" s="6" t="n">
        <v>229.58</v>
      </c>
      <c r="J29" s="6" t="n">
        <f aca="false">D29*I29</f>
        <v>3673.28</v>
      </c>
      <c r="K29" s="4" t="s">
        <v>169</v>
      </c>
    </row>
    <row r="30" customFormat="false" ht="35.05" hidden="false" customHeight="false" outlineLevel="0" collapsed="false">
      <c r="A30" s="4" t="s">
        <v>924</v>
      </c>
      <c r="B30" s="11" t="s">
        <v>925</v>
      </c>
      <c r="C30" s="4" t="s">
        <v>60</v>
      </c>
      <c r="D30" s="12" t="n">
        <v>16</v>
      </c>
      <c r="E30" s="12" t="n">
        <f aca="false">D30/16</f>
        <v>1</v>
      </c>
      <c r="F30" s="4" t="s">
        <v>921</v>
      </c>
      <c r="G30" s="4" t="s">
        <v>926</v>
      </c>
      <c r="H30" s="4" t="s">
        <v>927</v>
      </c>
      <c r="I30" s="6" t="n">
        <v>430.93</v>
      </c>
      <c r="J30" s="6" t="n">
        <f aca="false">D30*I30</f>
        <v>6894.88</v>
      </c>
      <c r="K30" s="4" t="s">
        <v>169</v>
      </c>
    </row>
    <row r="31" customFormat="false" ht="68.65" hidden="false" customHeight="false" outlineLevel="0" collapsed="false">
      <c r="A31" s="4" t="s">
        <v>928</v>
      </c>
      <c r="B31" s="11" t="s">
        <v>929</v>
      </c>
      <c r="C31" s="4" t="s">
        <v>60</v>
      </c>
      <c r="D31" s="12" t="n">
        <v>16</v>
      </c>
      <c r="E31" s="12" t="n">
        <f aca="false">D31/16</f>
        <v>1</v>
      </c>
      <c r="F31" s="4" t="s">
        <v>930</v>
      </c>
      <c r="G31" s="4" t="s">
        <v>931</v>
      </c>
      <c r="H31" s="4" t="s">
        <v>932</v>
      </c>
      <c r="I31" s="6" t="n">
        <v>523.15</v>
      </c>
      <c r="J31" s="6" t="n">
        <f aca="false">D31*I31</f>
        <v>8370.4</v>
      </c>
      <c r="K31" s="4" t="s">
        <v>169</v>
      </c>
    </row>
    <row r="32" customFormat="false" ht="68.65" hidden="false" customHeight="false" outlineLevel="0" collapsed="false">
      <c r="A32" s="4" t="s">
        <v>933</v>
      </c>
      <c r="B32" s="11" t="s">
        <v>934</v>
      </c>
      <c r="C32" s="4" t="s">
        <v>60</v>
      </c>
      <c r="D32" s="12" t="n">
        <v>16</v>
      </c>
      <c r="E32" s="12" t="n">
        <f aca="false">D32/16</f>
        <v>1</v>
      </c>
      <c r="F32" s="4" t="s">
        <v>935</v>
      </c>
      <c r="G32" s="4" t="s">
        <v>936</v>
      </c>
      <c r="H32" s="4" t="s">
        <v>937</v>
      </c>
      <c r="I32" s="6" t="n">
        <v>556.72</v>
      </c>
      <c r="J32" s="6" t="n">
        <f aca="false">D32*I32</f>
        <v>8907.52</v>
      </c>
      <c r="K32" s="4" t="s">
        <v>169</v>
      </c>
    </row>
    <row r="33" customFormat="false" ht="57.45" hidden="false" customHeight="false" outlineLevel="0" collapsed="false">
      <c r="A33" s="4" t="s">
        <v>938</v>
      </c>
      <c r="B33" s="11" t="s">
        <v>939</v>
      </c>
      <c r="C33" s="4" t="s">
        <v>60</v>
      </c>
      <c r="D33" s="12" t="n">
        <v>1</v>
      </c>
      <c r="E33" s="12" t="n">
        <f aca="false">D33/16</f>
        <v>0.0625</v>
      </c>
      <c r="F33" s="4" t="s">
        <v>940</v>
      </c>
      <c r="G33" s="4"/>
      <c r="H33" s="4" t="s">
        <v>941</v>
      </c>
      <c r="I33" s="6" t="n">
        <v>352.92</v>
      </c>
      <c r="J33" s="6" t="n">
        <f aca="false">D33*I33</f>
        <v>352.92</v>
      </c>
      <c r="K33" s="13" t="s">
        <v>74</v>
      </c>
    </row>
    <row r="34" customFormat="false" ht="57.45" hidden="false" customHeight="false" outlineLevel="0" collapsed="false">
      <c r="A34" s="4" t="s">
        <v>942</v>
      </c>
      <c r="B34" s="11" t="s">
        <v>943</v>
      </c>
      <c r="C34" s="4" t="s">
        <v>60</v>
      </c>
      <c r="D34" s="12" t="n">
        <v>36</v>
      </c>
      <c r="E34" s="12" t="n">
        <f aca="false">D34/16</f>
        <v>2.25</v>
      </c>
      <c r="F34" s="4" t="s">
        <v>944</v>
      </c>
      <c r="G34" s="4"/>
      <c r="H34" s="4" t="s">
        <v>945</v>
      </c>
      <c r="I34" s="6" t="n">
        <v>87.17</v>
      </c>
      <c r="J34" s="6" t="n">
        <f aca="false">D34*I34</f>
        <v>3138.12</v>
      </c>
      <c r="K34" s="13" t="s">
        <v>74</v>
      </c>
    </row>
    <row r="35" customFormat="false" ht="35.05" hidden="false" customHeight="false" outlineLevel="0" collapsed="false">
      <c r="A35" s="4" t="s">
        <v>946</v>
      </c>
      <c r="B35" s="11" t="s">
        <v>947</v>
      </c>
      <c r="C35" s="4" t="s">
        <v>60</v>
      </c>
      <c r="D35" s="12" t="n">
        <v>4</v>
      </c>
      <c r="E35" s="12" t="n">
        <f aca="false">D35/16</f>
        <v>0.25</v>
      </c>
      <c r="F35" s="4" t="s">
        <v>948</v>
      </c>
      <c r="G35" s="4"/>
      <c r="H35" s="4" t="s">
        <v>949</v>
      </c>
      <c r="I35" s="6" t="n">
        <v>1011.61</v>
      </c>
      <c r="J35" s="6" t="n">
        <f aca="false">D35*I35</f>
        <v>4046.44</v>
      </c>
      <c r="K35" s="13" t="s">
        <v>74</v>
      </c>
    </row>
    <row r="36" customFormat="false" ht="91" hidden="false" customHeight="false" outlineLevel="0" collapsed="false">
      <c r="A36" s="4" t="s">
        <v>950</v>
      </c>
      <c r="B36" s="11" t="s">
        <v>951</v>
      </c>
      <c r="C36" s="4" t="s">
        <v>60</v>
      </c>
      <c r="D36" s="12" t="n">
        <v>42</v>
      </c>
      <c r="E36" s="12" t="n">
        <f aca="false">D36/16</f>
        <v>2.625</v>
      </c>
      <c r="F36" s="4" t="s">
        <v>952</v>
      </c>
      <c r="G36" s="4"/>
      <c r="H36" s="4" t="s">
        <v>953</v>
      </c>
      <c r="I36" s="6" t="n">
        <v>26.4</v>
      </c>
      <c r="J36" s="6" t="n">
        <f aca="false">D36*I36</f>
        <v>1108.8</v>
      </c>
      <c r="K36" s="13" t="s">
        <v>74</v>
      </c>
    </row>
    <row r="37" customFormat="false" ht="91" hidden="false" customHeight="false" outlineLevel="0" collapsed="false">
      <c r="A37" s="4" t="s">
        <v>954</v>
      </c>
      <c r="B37" s="11" t="s">
        <v>955</v>
      </c>
      <c r="C37" s="4" t="s">
        <v>128</v>
      </c>
      <c r="D37" s="12" t="n">
        <v>275</v>
      </c>
      <c r="E37" s="12" t="n">
        <f aca="false">D37/16</f>
        <v>17.1875</v>
      </c>
      <c r="F37" s="4" t="s">
        <v>956</v>
      </c>
      <c r="G37" s="4" t="s">
        <v>957</v>
      </c>
      <c r="H37" s="4" t="s">
        <v>958</v>
      </c>
      <c r="I37" s="6" t="n">
        <v>14.42</v>
      </c>
      <c r="J37" s="6" t="n">
        <f aca="false">D37*I37</f>
        <v>3965.5</v>
      </c>
      <c r="K37" s="13" t="s">
        <v>74</v>
      </c>
    </row>
    <row r="38" customFormat="false" ht="113.4" hidden="false" customHeight="false" outlineLevel="0" collapsed="false">
      <c r="A38" s="4" t="s">
        <v>959</v>
      </c>
      <c r="B38" s="11" t="s">
        <v>960</v>
      </c>
      <c r="C38" s="4" t="s">
        <v>128</v>
      </c>
      <c r="D38" s="12" t="n">
        <v>110</v>
      </c>
      <c r="E38" s="12" t="n">
        <f aca="false">D38/16</f>
        <v>6.875</v>
      </c>
      <c r="F38" s="4" t="s">
        <v>961</v>
      </c>
      <c r="G38" s="4"/>
      <c r="H38" s="4" t="s">
        <v>962</v>
      </c>
      <c r="I38" s="6" t="n">
        <v>14.13</v>
      </c>
      <c r="J38" s="6" t="n">
        <f aca="false">D38*I38</f>
        <v>1554.3</v>
      </c>
      <c r="K38" s="13" t="s">
        <v>74</v>
      </c>
    </row>
    <row r="39" customFormat="false" ht="23.85" hidden="false" customHeight="false" outlineLevel="0" collapsed="false">
      <c r="A39" s="4" t="s">
        <v>963</v>
      </c>
      <c r="B39" s="11" t="s">
        <v>964</v>
      </c>
      <c r="C39" s="4" t="s">
        <v>60</v>
      </c>
      <c r="D39" s="12" t="n">
        <v>1</v>
      </c>
      <c r="E39" s="12" t="n">
        <f aca="false">D39/16</f>
        <v>0.0625</v>
      </c>
      <c r="F39" s="4"/>
      <c r="G39" s="4"/>
      <c r="H39" s="4" t="s">
        <v>965</v>
      </c>
      <c r="I39" s="6" t="n">
        <v>12.13</v>
      </c>
      <c r="J39" s="6" t="n">
        <f aca="false">D39*I39</f>
        <v>12.13</v>
      </c>
      <c r="K39" s="13" t="s">
        <v>74</v>
      </c>
    </row>
    <row r="40" customFormat="false" ht="23.85" hidden="false" customHeight="false" outlineLevel="0" collapsed="false">
      <c r="A40" s="4" t="s">
        <v>966</v>
      </c>
      <c r="B40" s="11" t="s">
        <v>967</v>
      </c>
      <c r="C40" s="4" t="s">
        <v>60</v>
      </c>
      <c r="D40" s="12" t="n">
        <v>3</v>
      </c>
      <c r="E40" s="12" t="n">
        <f aca="false">D40/16</f>
        <v>0.1875</v>
      </c>
      <c r="F40" s="4" t="s">
        <v>968</v>
      </c>
      <c r="G40" s="4"/>
      <c r="H40" s="4" t="s">
        <v>969</v>
      </c>
      <c r="I40" s="6" t="n">
        <v>11.54</v>
      </c>
      <c r="J40" s="6" t="n">
        <f aca="false">D40*I40</f>
        <v>34.62</v>
      </c>
      <c r="K40" s="13" t="s">
        <v>74</v>
      </c>
    </row>
    <row r="41" customFormat="false" ht="23.85" hidden="false" customHeight="false" outlineLevel="0" collapsed="false">
      <c r="A41" s="4" t="s">
        <v>970</v>
      </c>
      <c r="B41" s="11" t="s">
        <v>971</v>
      </c>
      <c r="C41" s="4" t="s">
        <v>60</v>
      </c>
      <c r="D41" s="12" t="n">
        <v>3</v>
      </c>
      <c r="E41" s="12" t="n">
        <f aca="false">D41/16</f>
        <v>0.1875</v>
      </c>
      <c r="F41" s="4" t="s">
        <v>968</v>
      </c>
      <c r="G41" s="4"/>
      <c r="H41" s="4" t="s">
        <v>972</v>
      </c>
      <c r="I41" s="6" t="n">
        <v>12.12</v>
      </c>
      <c r="J41" s="6" t="n">
        <f aca="false">D41*I41</f>
        <v>36.36</v>
      </c>
      <c r="K41" s="13" t="s">
        <v>74</v>
      </c>
    </row>
    <row r="42" customFormat="false" ht="23.85" hidden="false" customHeight="false" outlineLevel="0" collapsed="false">
      <c r="A42" s="4" t="s">
        <v>973</v>
      </c>
      <c r="B42" s="11" t="s">
        <v>974</v>
      </c>
      <c r="C42" s="4" t="s">
        <v>60</v>
      </c>
      <c r="D42" s="12" t="n">
        <v>3</v>
      </c>
      <c r="E42" s="12" t="n">
        <f aca="false">D42/16</f>
        <v>0.1875</v>
      </c>
      <c r="F42" s="4" t="s">
        <v>968</v>
      </c>
      <c r="G42" s="4"/>
      <c r="H42" s="4" t="s">
        <v>975</v>
      </c>
      <c r="I42" s="6" t="n">
        <v>15.08</v>
      </c>
      <c r="J42" s="6" t="n">
        <f aca="false">D42*I42</f>
        <v>45.24</v>
      </c>
      <c r="K42" s="13" t="s">
        <v>74</v>
      </c>
    </row>
    <row r="43" s="7" customFormat="true" ht="15" hidden="false" customHeight="false" outlineLevel="0" collapsed="false">
      <c r="B43" s="7" t="s">
        <v>92</v>
      </c>
      <c r="J43" s="8" t="n">
        <f aca="false">SUM(J5:J42)</f>
        <v>123201.4801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976</v>
      </c>
    </row>
    <row r="2" customFormat="false" ht="15" hidden="false" customHeight="false" outlineLevel="0" collapsed="false">
      <c r="A2" s="2" t="s">
        <v>977</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202.95" hidden="false" customHeight="false" outlineLevel="0" collapsed="false">
      <c r="A5" s="4" t="s">
        <v>978</v>
      </c>
      <c r="B5" s="11" t="s">
        <v>979</v>
      </c>
      <c r="C5" s="4" t="s">
        <v>71</v>
      </c>
      <c r="D5" s="12" t="n">
        <v>2000</v>
      </c>
      <c r="E5" s="12" t="n">
        <f aca="false">D5/16</f>
        <v>125</v>
      </c>
      <c r="F5" s="4" t="s">
        <v>980</v>
      </c>
      <c r="G5" s="4" t="s">
        <v>981</v>
      </c>
      <c r="H5" s="4" t="s">
        <v>982</v>
      </c>
      <c r="I5" s="6" t="n">
        <v>35.86</v>
      </c>
      <c r="J5" s="6" t="n">
        <f aca="false">D5*I5</f>
        <v>71720</v>
      </c>
      <c r="K5" s="4" t="s">
        <v>169</v>
      </c>
    </row>
    <row r="6" customFormat="false" ht="68.65" hidden="false" customHeight="false" outlineLevel="0" collapsed="false">
      <c r="A6" s="4" t="s">
        <v>983</v>
      </c>
      <c r="B6" s="11" t="s">
        <v>984</v>
      </c>
      <c r="C6" s="4" t="s">
        <v>128</v>
      </c>
      <c r="D6" s="12" t="n">
        <v>2400</v>
      </c>
      <c r="E6" s="12" t="n">
        <f aca="false">D6/16</f>
        <v>150</v>
      </c>
      <c r="F6" s="4" t="s">
        <v>985</v>
      </c>
      <c r="G6" s="4"/>
      <c r="H6" s="4" t="s">
        <v>986</v>
      </c>
      <c r="I6" s="6" t="n">
        <v>0.58</v>
      </c>
      <c r="J6" s="6" t="n">
        <f aca="false">D6*I6</f>
        <v>1392</v>
      </c>
      <c r="K6" s="4" t="s">
        <v>169</v>
      </c>
    </row>
    <row r="7" customFormat="false" ht="35.05" hidden="false" customHeight="false" outlineLevel="0" collapsed="false">
      <c r="A7" s="4" t="s">
        <v>987</v>
      </c>
      <c r="B7" s="11" t="s">
        <v>988</v>
      </c>
      <c r="C7" s="4" t="s">
        <v>71</v>
      </c>
      <c r="D7" s="12" t="n">
        <v>2400</v>
      </c>
      <c r="E7" s="12" t="n">
        <f aca="false">D7/16</f>
        <v>150</v>
      </c>
      <c r="F7" s="4" t="s">
        <v>989</v>
      </c>
      <c r="G7" s="4"/>
      <c r="H7" s="4" t="s">
        <v>990</v>
      </c>
      <c r="I7" s="6" t="n">
        <v>0.76</v>
      </c>
      <c r="J7" s="6" t="n">
        <f aca="false">D7*I7</f>
        <v>1824</v>
      </c>
      <c r="K7" s="4" t="s">
        <v>169</v>
      </c>
    </row>
    <row r="8" customFormat="false" ht="35.05" hidden="false" customHeight="false" outlineLevel="0" collapsed="false">
      <c r="A8" s="4" t="s">
        <v>991</v>
      </c>
      <c r="B8" s="11" t="s">
        <v>992</v>
      </c>
      <c r="C8" s="4" t="s">
        <v>60</v>
      </c>
      <c r="D8" s="12" t="n">
        <v>160</v>
      </c>
      <c r="E8" s="12" t="n">
        <f aca="false">D8/16</f>
        <v>10</v>
      </c>
      <c r="F8" s="4" t="s">
        <v>993</v>
      </c>
      <c r="G8" s="4"/>
      <c r="H8" s="4" t="s">
        <v>994</v>
      </c>
      <c r="I8" s="6" t="n">
        <v>3.64</v>
      </c>
      <c r="J8" s="6" t="n">
        <f aca="false">D8*I8</f>
        <v>582.4</v>
      </c>
      <c r="K8" s="4" t="s">
        <v>169</v>
      </c>
    </row>
    <row r="9" customFormat="false" ht="35.05" hidden="false" customHeight="false" outlineLevel="0" collapsed="false">
      <c r="A9" s="4" t="s">
        <v>995</v>
      </c>
      <c r="B9" s="11" t="s">
        <v>996</v>
      </c>
      <c r="C9" s="4" t="s">
        <v>577</v>
      </c>
      <c r="D9" s="12" t="n">
        <v>500</v>
      </c>
      <c r="E9" s="12" t="n">
        <f aca="false">D9/16</f>
        <v>31.25</v>
      </c>
      <c r="F9" s="4" t="s">
        <v>997</v>
      </c>
      <c r="G9" s="4"/>
      <c r="H9" s="4" t="s">
        <v>998</v>
      </c>
      <c r="I9" s="6" t="n">
        <v>3.83</v>
      </c>
      <c r="J9" s="6" t="n">
        <f aca="false">D9*I9</f>
        <v>1915</v>
      </c>
      <c r="K9" s="4" t="s">
        <v>169</v>
      </c>
    </row>
    <row r="10" customFormat="false" ht="404.45" hidden="false" customHeight="false" outlineLevel="0" collapsed="false">
      <c r="A10" s="4" t="s">
        <v>999</v>
      </c>
      <c r="B10" s="11" t="s">
        <v>1000</v>
      </c>
      <c r="C10" s="4" t="s">
        <v>60</v>
      </c>
      <c r="D10" s="12" t="n">
        <v>16</v>
      </c>
      <c r="E10" s="12" t="n">
        <f aca="false">D10/16</f>
        <v>1</v>
      </c>
      <c r="F10" s="4" t="s">
        <v>1001</v>
      </c>
      <c r="G10" s="4" t="s">
        <v>1002</v>
      </c>
      <c r="H10" s="4" t="s">
        <v>1003</v>
      </c>
      <c r="I10" s="6" t="n">
        <v>8376.48</v>
      </c>
      <c r="J10" s="6" t="n">
        <f aca="false">D10*I10</f>
        <v>134023.68</v>
      </c>
      <c r="K10" s="4" t="s">
        <v>169</v>
      </c>
    </row>
    <row r="11" customFormat="false" ht="23.85" hidden="false" customHeight="false" outlineLevel="0" collapsed="false">
      <c r="A11" s="4" t="s">
        <v>1004</v>
      </c>
      <c r="B11" s="11" t="s">
        <v>1005</v>
      </c>
      <c r="C11" s="4" t="s">
        <v>60</v>
      </c>
      <c r="D11" s="12" t="n">
        <v>32</v>
      </c>
      <c r="E11" s="12" t="n">
        <f aca="false">D11/16</f>
        <v>2</v>
      </c>
      <c r="F11" s="4" t="s">
        <v>1006</v>
      </c>
      <c r="G11" s="4"/>
      <c r="H11" s="4" t="s">
        <v>1007</v>
      </c>
      <c r="I11" s="6" t="n">
        <v>12.7</v>
      </c>
      <c r="J11" s="6" t="n">
        <f aca="false">D11*I11</f>
        <v>406.4</v>
      </c>
      <c r="K11" s="4" t="s">
        <v>169</v>
      </c>
    </row>
    <row r="12" customFormat="false" ht="23.85" hidden="false" customHeight="false" outlineLevel="0" collapsed="false">
      <c r="A12" s="4" t="s">
        <v>1008</v>
      </c>
      <c r="B12" s="11" t="s">
        <v>1009</v>
      </c>
      <c r="C12" s="4" t="s">
        <v>60</v>
      </c>
      <c r="D12" s="12" t="n">
        <v>32</v>
      </c>
      <c r="E12" s="12" t="n">
        <f aca="false">D12/16</f>
        <v>2</v>
      </c>
      <c r="F12" s="4" t="s">
        <v>1006</v>
      </c>
      <c r="G12" s="4"/>
      <c r="H12" s="4" t="s">
        <v>1010</v>
      </c>
      <c r="I12" s="6" t="n">
        <v>74.78</v>
      </c>
      <c r="J12" s="6" t="n">
        <f aca="false">D12*I12</f>
        <v>2392.96</v>
      </c>
      <c r="K12" s="4" t="s">
        <v>169</v>
      </c>
    </row>
    <row r="13" customFormat="false" ht="113.4" hidden="false" customHeight="false" outlineLevel="0" collapsed="false">
      <c r="A13" s="4" t="s">
        <v>1011</v>
      </c>
      <c r="B13" s="11" t="s">
        <v>1012</v>
      </c>
      <c r="C13" s="4" t="s">
        <v>60</v>
      </c>
      <c r="D13" s="12" t="n">
        <v>32</v>
      </c>
      <c r="E13" s="12" t="n">
        <f aca="false">D13/16</f>
        <v>2</v>
      </c>
      <c r="F13" s="4" t="s">
        <v>1006</v>
      </c>
      <c r="G13" s="4" t="s">
        <v>1013</v>
      </c>
      <c r="H13" s="4" t="s">
        <v>1014</v>
      </c>
      <c r="I13" s="6" t="n">
        <v>222.29</v>
      </c>
      <c r="J13" s="6" t="n">
        <f aca="false">D13*I13</f>
        <v>7113.28</v>
      </c>
      <c r="K13" s="4" t="s">
        <v>169</v>
      </c>
    </row>
    <row r="14" customFormat="false" ht="35.05" hidden="false" customHeight="false" outlineLevel="0" collapsed="false">
      <c r="A14" s="4" t="s">
        <v>1015</v>
      </c>
      <c r="B14" s="11" t="s">
        <v>1016</v>
      </c>
      <c r="C14" s="4" t="s">
        <v>60</v>
      </c>
      <c r="D14" s="12" t="n">
        <v>320</v>
      </c>
      <c r="E14" s="12" t="n">
        <f aca="false">D14/16</f>
        <v>20</v>
      </c>
      <c r="F14" s="4" t="s">
        <v>1017</v>
      </c>
      <c r="G14" s="4"/>
      <c r="H14" s="4" t="s">
        <v>1018</v>
      </c>
      <c r="I14" s="6" t="n">
        <v>0.76</v>
      </c>
      <c r="J14" s="6" t="n">
        <f aca="false">D14*I14</f>
        <v>243.2</v>
      </c>
      <c r="K14" s="4" t="s">
        <v>169</v>
      </c>
    </row>
    <row r="15" customFormat="false" ht="79.85" hidden="false" customHeight="false" outlineLevel="0" collapsed="false">
      <c r="A15" s="4" t="s">
        <v>1019</v>
      </c>
      <c r="B15" s="11" t="s">
        <v>1020</v>
      </c>
      <c r="C15" s="4" t="s">
        <v>60</v>
      </c>
      <c r="D15" s="12" t="n">
        <v>32</v>
      </c>
      <c r="E15" s="12" t="n">
        <f aca="false">D15/16</f>
        <v>2</v>
      </c>
      <c r="F15" s="4" t="s">
        <v>1006</v>
      </c>
      <c r="G15" s="4" t="s">
        <v>1021</v>
      </c>
      <c r="H15" s="4" t="s">
        <v>1022</v>
      </c>
      <c r="I15" s="6" t="n">
        <v>199.3</v>
      </c>
      <c r="J15" s="6" t="n">
        <f aca="false">D15*I15</f>
        <v>6377.6</v>
      </c>
      <c r="K15" s="4" t="s">
        <v>169</v>
      </c>
    </row>
    <row r="16" customFormat="false" ht="46.25" hidden="false" customHeight="false" outlineLevel="0" collapsed="false">
      <c r="A16" s="4" t="s">
        <v>1023</v>
      </c>
      <c r="B16" s="11" t="s">
        <v>1024</v>
      </c>
      <c r="C16" s="4" t="s">
        <v>60</v>
      </c>
      <c r="D16" s="12" t="n">
        <v>80</v>
      </c>
      <c r="E16" s="12" t="n">
        <f aca="false">D16/16</f>
        <v>5</v>
      </c>
      <c r="F16" s="4" t="s">
        <v>1025</v>
      </c>
      <c r="G16" s="4"/>
      <c r="H16" s="4" t="s">
        <v>1026</v>
      </c>
      <c r="I16" s="6" t="n">
        <v>27.66</v>
      </c>
      <c r="J16" s="6" t="n">
        <f aca="false">D16*I16</f>
        <v>2212.8</v>
      </c>
      <c r="K16" s="4" t="s">
        <v>169</v>
      </c>
    </row>
    <row r="17" customFormat="false" ht="23.85" hidden="false" customHeight="false" outlineLevel="0" collapsed="false">
      <c r="A17" s="4" t="s">
        <v>1027</v>
      </c>
      <c r="B17" s="11" t="s">
        <v>1028</v>
      </c>
      <c r="C17" s="4" t="s">
        <v>60</v>
      </c>
      <c r="D17" s="12" t="n">
        <v>32</v>
      </c>
      <c r="E17" s="12" t="n">
        <f aca="false">D17/16</f>
        <v>2</v>
      </c>
      <c r="F17" s="4" t="s">
        <v>1029</v>
      </c>
      <c r="G17" s="4"/>
      <c r="H17" s="4" t="s">
        <v>1030</v>
      </c>
      <c r="I17" s="6" t="n">
        <v>21.5</v>
      </c>
      <c r="J17" s="6" t="n">
        <f aca="false">D17*I17</f>
        <v>688</v>
      </c>
      <c r="K17" s="4" t="s">
        <v>169</v>
      </c>
    </row>
    <row r="18" customFormat="false" ht="68.65" hidden="false" customHeight="false" outlineLevel="0" collapsed="false">
      <c r="A18" s="4" t="s">
        <v>1031</v>
      </c>
      <c r="B18" s="11" t="s">
        <v>1032</v>
      </c>
      <c r="C18" s="4" t="s">
        <v>60</v>
      </c>
      <c r="D18" s="12" t="n">
        <v>32</v>
      </c>
      <c r="E18" s="12" t="n">
        <f aca="false">D18/16</f>
        <v>2</v>
      </c>
      <c r="F18" s="4" t="s">
        <v>1029</v>
      </c>
      <c r="G18" s="4"/>
      <c r="H18" s="4" t="s">
        <v>1033</v>
      </c>
      <c r="I18" s="6" t="n">
        <v>76.31</v>
      </c>
      <c r="J18" s="6" t="n">
        <f aca="false">D18*I18</f>
        <v>2441.92</v>
      </c>
      <c r="K18" s="4" t="s">
        <v>169</v>
      </c>
    </row>
    <row r="19" customFormat="false" ht="158.2" hidden="false" customHeight="false" outlineLevel="0" collapsed="false">
      <c r="A19" s="4" t="s">
        <v>1034</v>
      </c>
      <c r="B19" s="11" t="s">
        <v>1035</v>
      </c>
      <c r="C19" s="4" t="s">
        <v>128</v>
      </c>
      <c r="D19" s="12" t="n">
        <v>224</v>
      </c>
      <c r="E19" s="12" t="n">
        <f aca="false">D19/16</f>
        <v>14</v>
      </c>
      <c r="F19" s="4" t="s">
        <v>1036</v>
      </c>
      <c r="G19" s="4" t="s">
        <v>1037</v>
      </c>
      <c r="H19" s="4" t="s">
        <v>1038</v>
      </c>
      <c r="I19" s="6" t="n">
        <v>13.73</v>
      </c>
      <c r="J19" s="6" t="n">
        <f aca="false">D19*I19</f>
        <v>3075.52</v>
      </c>
      <c r="K19" s="4" t="s">
        <v>169</v>
      </c>
    </row>
    <row r="20" customFormat="false" ht="135.8" hidden="false" customHeight="false" outlineLevel="0" collapsed="false">
      <c r="A20" s="4" t="s">
        <v>1039</v>
      </c>
      <c r="B20" s="11" t="s">
        <v>1040</v>
      </c>
      <c r="C20" s="4" t="s">
        <v>128</v>
      </c>
      <c r="D20" s="12" t="n">
        <v>192</v>
      </c>
      <c r="E20" s="12" t="n">
        <f aca="false">D20/16</f>
        <v>12</v>
      </c>
      <c r="F20" s="4" t="s">
        <v>690</v>
      </c>
      <c r="G20" s="4"/>
      <c r="H20" s="4" t="s">
        <v>1041</v>
      </c>
      <c r="I20" s="6" t="n">
        <v>31.39</v>
      </c>
      <c r="J20" s="6" t="n">
        <f aca="false">D20*I20</f>
        <v>6026.88</v>
      </c>
      <c r="K20" s="4" t="s">
        <v>169</v>
      </c>
    </row>
    <row r="21" customFormat="false" ht="147" hidden="false" customHeight="false" outlineLevel="0" collapsed="false">
      <c r="A21" s="4" t="s">
        <v>1042</v>
      </c>
      <c r="B21" s="11" t="s">
        <v>1043</v>
      </c>
      <c r="C21" s="4" t="s">
        <v>60</v>
      </c>
      <c r="D21" s="12" t="n">
        <v>16</v>
      </c>
      <c r="E21" s="12" t="n">
        <f aca="false">D21/16</f>
        <v>1</v>
      </c>
      <c r="F21" s="4" t="s">
        <v>317</v>
      </c>
      <c r="G21" s="4"/>
      <c r="H21" s="4" t="s">
        <v>1044</v>
      </c>
      <c r="I21" s="6" t="n">
        <v>75.91</v>
      </c>
      <c r="J21" s="6" t="n">
        <f aca="false">D21*I21</f>
        <v>1214.56</v>
      </c>
      <c r="K21" s="4" t="s">
        <v>169</v>
      </c>
    </row>
    <row r="22" customFormat="false" ht="124.6" hidden="false" customHeight="false" outlineLevel="0" collapsed="false">
      <c r="A22" s="4" t="s">
        <v>1045</v>
      </c>
      <c r="B22" s="11" t="s">
        <v>1046</v>
      </c>
      <c r="C22" s="4" t="s">
        <v>60</v>
      </c>
      <c r="D22" s="12" t="n">
        <v>16</v>
      </c>
      <c r="E22" s="12" t="n">
        <f aca="false">D22/16</f>
        <v>1</v>
      </c>
      <c r="F22" s="4" t="s">
        <v>317</v>
      </c>
      <c r="G22" s="4"/>
      <c r="H22" s="4" t="s">
        <v>1047</v>
      </c>
      <c r="I22" s="6" t="n">
        <v>21.4</v>
      </c>
      <c r="J22" s="6" t="n">
        <f aca="false">D22*I22</f>
        <v>342.4</v>
      </c>
      <c r="K22" s="4" t="s">
        <v>169</v>
      </c>
    </row>
    <row r="23" customFormat="false" ht="91" hidden="false" customHeight="false" outlineLevel="0" collapsed="false">
      <c r="A23" s="4" t="s">
        <v>1048</v>
      </c>
      <c r="B23" s="11" t="s">
        <v>1049</v>
      </c>
      <c r="C23" s="4" t="s">
        <v>60</v>
      </c>
      <c r="D23" s="12" t="n">
        <v>16</v>
      </c>
      <c r="E23" s="12" t="n">
        <f aca="false">D23/16</f>
        <v>1</v>
      </c>
      <c r="F23" s="4" t="s">
        <v>317</v>
      </c>
      <c r="G23" s="4"/>
      <c r="H23" s="4" t="s">
        <v>1050</v>
      </c>
      <c r="I23" s="6" t="n">
        <v>9.05</v>
      </c>
      <c r="J23" s="6" t="n">
        <f aca="false">D23*I23</f>
        <v>144.8</v>
      </c>
      <c r="K23" s="4" t="s">
        <v>169</v>
      </c>
    </row>
    <row r="24" customFormat="false" ht="180.55" hidden="false" customHeight="false" outlineLevel="0" collapsed="false">
      <c r="A24" s="4" t="s">
        <v>1051</v>
      </c>
      <c r="B24" s="11" t="s">
        <v>1052</v>
      </c>
      <c r="C24" s="4" t="s">
        <v>60</v>
      </c>
      <c r="D24" s="12" t="n">
        <v>16</v>
      </c>
      <c r="E24" s="12" t="n">
        <f aca="false">D24/16</f>
        <v>1</v>
      </c>
      <c r="F24" s="4" t="s">
        <v>317</v>
      </c>
      <c r="G24" s="4" t="s">
        <v>1053</v>
      </c>
      <c r="H24" s="4" t="s">
        <v>1054</v>
      </c>
      <c r="I24" s="6" t="n">
        <v>595.34</v>
      </c>
      <c r="J24" s="6" t="n">
        <f aca="false">D24*I24</f>
        <v>9525.44</v>
      </c>
      <c r="K24" s="4" t="s">
        <v>169</v>
      </c>
    </row>
    <row r="25" customFormat="false" ht="46.25" hidden="false" customHeight="false" outlineLevel="0" collapsed="false">
      <c r="A25" s="4" t="s">
        <v>1055</v>
      </c>
      <c r="B25" s="11" t="s">
        <v>1056</v>
      </c>
      <c r="C25" s="4" t="s">
        <v>60</v>
      </c>
      <c r="D25" s="12" t="n">
        <v>16</v>
      </c>
      <c r="E25" s="12" t="n">
        <f aca="false">D25/16</f>
        <v>1</v>
      </c>
      <c r="F25" s="4" t="s">
        <v>317</v>
      </c>
      <c r="G25" s="4"/>
      <c r="H25" s="4" t="s">
        <v>1057</v>
      </c>
      <c r="I25" s="6" t="n">
        <v>263.23</v>
      </c>
      <c r="J25" s="6" t="n">
        <f aca="false">D25*I25</f>
        <v>4211.68</v>
      </c>
      <c r="K25" s="4" t="s">
        <v>169</v>
      </c>
    </row>
    <row r="26" customFormat="false" ht="46.25" hidden="false" customHeight="false" outlineLevel="0" collapsed="false">
      <c r="A26" s="4" t="s">
        <v>1058</v>
      </c>
      <c r="B26" s="11" t="s">
        <v>1059</v>
      </c>
      <c r="C26" s="4" t="s">
        <v>60</v>
      </c>
      <c r="D26" s="12" t="n">
        <v>16</v>
      </c>
      <c r="E26" s="12" t="n">
        <f aca="false">D26/16</f>
        <v>1</v>
      </c>
      <c r="F26" s="4" t="s">
        <v>317</v>
      </c>
      <c r="G26" s="4"/>
      <c r="H26" s="4" t="s">
        <v>1060</v>
      </c>
      <c r="I26" s="6" t="n">
        <v>402.36</v>
      </c>
      <c r="J26" s="6" t="n">
        <f aca="false">D26*I26</f>
        <v>6437.76</v>
      </c>
      <c r="K26" s="4" t="s">
        <v>169</v>
      </c>
    </row>
    <row r="27" customFormat="false" ht="113.4" hidden="false" customHeight="false" outlineLevel="0" collapsed="false">
      <c r="A27" s="4" t="s">
        <v>1061</v>
      </c>
      <c r="B27" s="11" t="s">
        <v>1062</v>
      </c>
      <c r="C27" s="4" t="s">
        <v>60</v>
      </c>
      <c r="D27" s="12" t="n">
        <v>16</v>
      </c>
      <c r="E27" s="12" t="n">
        <f aca="false">D27/16</f>
        <v>1</v>
      </c>
      <c r="F27" s="4" t="s">
        <v>317</v>
      </c>
      <c r="G27" s="4" t="s">
        <v>1063</v>
      </c>
      <c r="H27" s="4" t="s">
        <v>1064</v>
      </c>
      <c r="I27" s="6" t="n">
        <v>360.24</v>
      </c>
      <c r="J27" s="6" t="n">
        <f aca="false">D27*I27</f>
        <v>5763.84</v>
      </c>
      <c r="K27" s="4" t="s">
        <v>169</v>
      </c>
    </row>
    <row r="28" customFormat="false" ht="113.4" hidden="false" customHeight="false" outlineLevel="0" collapsed="false">
      <c r="A28" s="4" t="s">
        <v>1065</v>
      </c>
      <c r="B28" s="11" t="s">
        <v>1066</v>
      </c>
      <c r="C28" s="4" t="s">
        <v>60</v>
      </c>
      <c r="D28" s="12" t="n">
        <v>16</v>
      </c>
      <c r="E28" s="12" t="n">
        <f aca="false">D28/16</f>
        <v>1</v>
      </c>
      <c r="F28" s="4" t="s">
        <v>317</v>
      </c>
      <c r="G28" s="4" t="s">
        <v>1067</v>
      </c>
      <c r="H28" s="4" t="s">
        <v>1068</v>
      </c>
      <c r="I28" s="6" t="n">
        <v>75.96</v>
      </c>
      <c r="J28" s="6" t="n">
        <f aca="false">D28*I28</f>
        <v>1215.36</v>
      </c>
      <c r="K28" s="4" t="s">
        <v>169</v>
      </c>
    </row>
    <row r="29" customFormat="false" ht="68.65" hidden="false" customHeight="false" outlineLevel="0" collapsed="false">
      <c r="A29" s="4" t="s">
        <v>1069</v>
      </c>
      <c r="B29" s="11" t="s">
        <v>1070</v>
      </c>
      <c r="C29" s="4" t="s">
        <v>128</v>
      </c>
      <c r="D29" s="12" t="n">
        <v>552</v>
      </c>
      <c r="E29" s="12" t="n">
        <f aca="false">D29/16</f>
        <v>34.5</v>
      </c>
      <c r="F29" s="4" t="s">
        <v>1071</v>
      </c>
      <c r="G29" s="4"/>
      <c r="H29" s="4" t="s">
        <v>1072</v>
      </c>
      <c r="I29" s="6" t="n">
        <v>15.8</v>
      </c>
      <c r="J29" s="6" t="n">
        <f aca="false">D29*I29</f>
        <v>8721.6</v>
      </c>
      <c r="K29" s="4" t="s">
        <v>169</v>
      </c>
    </row>
    <row r="30" customFormat="false" ht="68.65" hidden="false" customHeight="false" outlineLevel="0" collapsed="false">
      <c r="A30" s="4" t="s">
        <v>1073</v>
      </c>
      <c r="B30" s="11" t="s">
        <v>1074</v>
      </c>
      <c r="C30" s="4" t="s">
        <v>128</v>
      </c>
      <c r="D30" s="12" t="n">
        <v>208</v>
      </c>
      <c r="E30" s="12" t="n">
        <f aca="false">D30/16</f>
        <v>13</v>
      </c>
      <c r="F30" s="4" t="s">
        <v>1075</v>
      </c>
      <c r="G30" s="4" t="s">
        <v>1076</v>
      </c>
      <c r="H30" s="4" t="s">
        <v>1077</v>
      </c>
      <c r="I30" s="6" t="n">
        <v>14.31</v>
      </c>
      <c r="J30" s="6" t="n">
        <f aca="false">D30*I30</f>
        <v>2976.48</v>
      </c>
      <c r="K30" s="4" t="s">
        <v>169</v>
      </c>
    </row>
    <row r="31" customFormat="false" ht="68.65" hidden="false" customHeight="false" outlineLevel="0" collapsed="false">
      <c r="A31" s="4" t="s">
        <v>1078</v>
      </c>
      <c r="B31" s="11" t="s">
        <v>1079</v>
      </c>
      <c r="C31" s="4" t="s">
        <v>128</v>
      </c>
      <c r="D31" s="12" t="n">
        <v>336</v>
      </c>
      <c r="E31" s="12" t="n">
        <f aca="false">D31/16</f>
        <v>21</v>
      </c>
      <c r="F31" s="4" t="s">
        <v>712</v>
      </c>
      <c r="G31" s="4" t="s">
        <v>1080</v>
      </c>
      <c r="H31" s="4" t="s">
        <v>1081</v>
      </c>
      <c r="I31" s="6" t="n">
        <v>21.22</v>
      </c>
      <c r="J31" s="6" t="n">
        <f aca="false">D31*I31</f>
        <v>7129.92</v>
      </c>
      <c r="K31" s="4" t="s">
        <v>169</v>
      </c>
    </row>
    <row r="32" customFormat="false" ht="57.45" hidden="false" customHeight="false" outlineLevel="0" collapsed="false">
      <c r="A32" s="4" t="s">
        <v>1082</v>
      </c>
      <c r="B32" s="11" t="s">
        <v>1083</v>
      </c>
      <c r="C32" s="4" t="s">
        <v>60</v>
      </c>
      <c r="D32" s="12" t="n">
        <v>80</v>
      </c>
      <c r="E32" s="12" t="n">
        <f aca="false">D32/16</f>
        <v>5</v>
      </c>
      <c r="F32" s="4" t="s">
        <v>796</v>
      </c>
      <c r="G32" s="4" t="s">
        <v>465</v>
      </c>
      <c r="H32" s="4" t="s">
        <v>1084</v>
      </c>
      <c r="I32" s="6" t="n">
        <v>68.27</v>
      </c>
      <c r="J32" s="6" t="n">
        <f aca="false">D32*I32</f>
        <v>5461.6</v>
      </c>
      <c r="K32" s="4" t="s">
        <v>169</v>
      </c>
    </row>
    <row r="33" customFormat="false" ht="46.25" hidden="false" customHeight="false" outlineLevel="0" collapsed="false">
      <c r="A33" s="4" t="s">
        <v>1085</v>
      </c>
      <c r="B33" s="11" t="s">
        <v>1086</v>
      </c>
      <c r="C33" s="4" t="s">
        <v>60</v>
      </c>
      <c r="D33" s="12" t="n">
        <v>80</v>
      </c>
      <c r="E33" s="12" t="n">
        <f aca="false">D33/16</f>
        <v>5</v>
      </c>
      <c r="F33" s="4" t="s">
        <v>796</v>
      </c>
      <c r="G33" s="4"/>
      <c r="H33" s="4" t="s">
        <v>1087</v>
      </c>
      <c r="I33" s="6" t="n">
        <v>5.47</v>
      </c>
      <c r="J33" s="6" t="n">
        <f aca="false">D33*I33</f>
        <v>437.6</v>
      </c>
      <c r="K33" s="4" t="s">
        <v>169</v>
      </c>
    </row>
    <row r="34" customFormat="false" ht="102.2" hidden="false" customHeight="false" outlineLevel="0" collapsed="false">
      <c r="A34" s="4" t="s">
        <v>1088</v>
      </c>
      <c r="B34" s="11" t="s">
        <v>1089</v>
      </c>
      <c r="C34" s="4" t="s">
        <v>60</v>
      </c>
      <c r="D34" s="12" t="n">
        <v>16</v>
      </c>
      <c r="E34" s="12" t="n">
        <f aca="false">D34/16</f>
        <v>1</v>
      </c>
      <c r="F34" s="4" t="s">
        <v>317</v>
      </c>
      <c r="G34" s="4" t="s">
        <v>1090</v>
      </c>
      <c r="H34" s="4" t="s">
        <v>1091</v>
      </c>
      <c r="I34" s="6" t="n">
        <v>214.34</v>
      </c>
      <c r="J34" s="6" t="n">
        <f aca="false">D34*I34</f>
        <v>3429.44</v>
      </c>
      <c r="K34" s="4" t="s">
        <v>169</v>
      </c>
    </row>
    <row r="35" s="7" customFormat="true" ht="15" hidden="false" customHeight="false" outlineLevel="0" collapsed="false">
      <c r="B35" s="7" t="s">
        <v>92</v>
      </c>
      <c r="J35" s="8" t="n">
        <f aca="false">SUM(J5:J34)</f>
        <v>299448.12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1092</v>
      </c>
    </row>
    <row r="2" customFormat="false" ht="15" hidden="false" customHeight="false" outlineLevel="0" collapsed="false">
      <c r="A2" s="2" t="s">
        <v>1093</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68.65" hidden="false" customHeight="false" outlineLevel="0" collapsed="false">
      <c r="A5" s="4" t="s">
        <v>1094</v>
      </c>
      <c r="B5" s="11" t="s">
        <v>1095</v>
      </c>
      <c r="C5" s="4" t="s">
        <v>71</v>
      </c>
      <c r="D5" s="12" t="n">
        <v>83</v>
      </c>
      <c r="E5" s="12" t="n">
        <f aca="false">D5/16</f>
        <v>5.1875</v>
      </c>
      <c r="F5" s="4" t="s">
        <v>1096</v>
      </c>
      <c r="G5" s="4"/>
      <c r="H5" s="4" t="s">
        <v>1097</v>
      </c>
      <c r="I5" s="6" t="n">
        <v>40.05</v>
      </c>
      <c r="J5" s="6" t="n">
        <f aca="false">D5*I5</f>
        <v>3324.15</v>
      </c>
      <c r="K5" s="13" t="s">
        <v>74</v>
      </c>
    </row>
    <row r="6" customFormat="false" ht="46.25" hidden="false" customHeight="false" outlineLevel="0" collapsed="false">
      <c r="A6" s="4" t="s">
        <v>1098</v>
      </c>
      <c r="B6" s="11" t="s">
        <v>1099</v>
      </c>
      <c r="C6" s="4" t="s">
        <v>71</v>
      </c>
      <c r="D6" s="12" t="n">
        <v>95.25</v>
      </c>
      <c r="E6" s="12" t="n">
        <f aca="false">D6/16</f>
        <v>5.953125</v>
      </c>
      <c r="F6" s="4" t="s">
        <v>1100</v>
      </c>
      <c r="G6" s="4"/>
      <c r="H6" s="4" t="s">
        <v>1101</v>
      </c>
      <c r="I6" s="6" t="n">
        <v>4.43</v>
      </c>
      <c r="J6" s="6" t="n">
        <f aca="false">D6*I6</f>
        <v>421.9575</v>
      </c>
      <c r="K6" s="13" t="s">
        <v>74</v>
      </c>
    </row>
    <row r="7" customFormat="false" ht="68.65" hidden="false" customHeight="false" outlineLevel="0" collapsed="false">
      <c r="A7" s="4" t="s">
        <v>1102</v>
      </c>
      <c r="B7" s="11" t="s">
        <v>1103</v>
      </c>
      <c r="C7" s="4" t="s">
        <v>71</v>
      </c>
      <c r="D7" s="12" t="n">
        <v>95.25</v>
      </c>
      <c r="E7" s="12" t="n">
        <f aca="false">D7/16</f>
        <v>5.953125</v>
      </c>
      <c r="F7" s="4" t="s">
        <v>1100</v>
      </c>
      <c r="G7" s="4"/>
      <c r="H7" s="4" t="s">
        <v>1104</v>
      </c>
      <c r="I7" s="6" t="n">
        <v>34.92</v>
      </c>
      <c r="J7" s="6" t="n">
        <f aca="false">D7*I7</f>
        <v>3326.13</v>
      </c>
      <c r="K7" s="13" t="s">
        <v>74</v>
      </c>
    </row>
    <row r="8" customFormat="false" ht="68.65" hidden="false" customHeight="false" outlineLevel="0" collapsed="false">
      <c r="A8" s="4" t="s">
        <v>1105</v>
      </c>
      <c r="B8" s="11" t="s">
        <v>1106</v>
      </c>
      <c r="C8" s="4" t="s">
        <v>71</v>
      </c>
      <c r="D8" s="12" t="n">
        <v>59</v>
      </c>
      <c r="E8" s="12" t="n">
        <f aca="false">D8/16</f>
        <v>3.6875</v>
      </c>
      <c r="F8" s="4" t="s">
        <v>1107</v>
      </c>
      <c r="G8" s="4"/>
      <c r="H8" s="4" t="s">
        <v>1108</v>
      </c>
      <c r="I8" s="6" t="n">
        <v>31.52</v>
      </c>
      <c r="J8" s="6" t="n">
        <f aca="false">D8*I8</f>
        <v>1859.68</v>
      </c>
      <c r="K8" s="13" t="s">
        <v>74</v>
      </c>
    </row>
    <row r="9" customFormat="false" ht="68.65" hidden="false" customHeight="false" outlineLevel="0" collapsed="false">
      <c r="A9" s="4" t="s">
        <v>1109</v>
      </c>
      <c r="B9" s="11" t="s">
        <v>1110</v>
      </c>
      <c r="C9" s="4" t="s">
        <v>81</v>
      </c>
      <c r="D9" s="12" t="n">
        <v>1.45</v>
      </c>
      <c r="E9" s="12" t="n">
        <f aca="false">D9/16</f>
        <v>0.090625</v>
      </c>
      <c r="F9" s="4" t="s">
        <v>1111</v>
      </c>
      <c r="G9" s="4" t="s">
        <v>1112</v>
      </c>
      <c r="H9" s="4" t="s">
        <v>1113</v>
      </c>
      <c r="I9" s="6" t="n">
        <v>67.44</v>
      </c>
      <c r="J9" s="6" t="n">
        <f aca="false">D9*I9</f>
        <v>97.788</v>
      </c>
      <c r="K9" s="13" t="s">
        <v>74</v>
      </c>
    </row>
    <row r="10" customFormat="false" ht="35.05" hidden="false" customHeight="false" outlineLevel="0" collapsed="false">
      <c r="A10" s="4" t="s">
        <v>1114</v>
      </c>
      <c r="B10" s="11" t="s">
        <v>1115</v>
      </c>
      <c r="C10" s="4" t="s">
        <v>128</v>
      </c>
      <c r="D10" s="12" t="n">
        <v>9</v>
      </c>
      <c r="E10" s="12" t="n">
        <f aca="false">D10/16</f>
        <v>0.5625</v>
      </c>
      <c r="F10" s="4" t="s">
        <v>1116</v>
      </c>
      <c r="G10" s="4"/>
      <c r="H10" s="4" t="s">
        <v>1117</v>
      </c>
      <c r="I10" s="6" t="n">
        <v>22.49</v>
      </c>
      <c r="J10" s="6" t="n">
        <f aca="false">D10*I10</f>
        <v>202.41</v>
      </c>
      <c r="K10" s="13" t="s">
        <v>74</v>
      </c>
    </row>
    <row r="11" customFormat="false" ht="124.6" hidden="false" customHeight="false" outlineLevel="0" collapsed="false">
      <c r="A11" s="4" t="s">
        <v>1118</v>
      </c>
      <c r="B11" s="11" t="s">
        <v>1119</v>
      </c>
      <c r="C11" s="4" t="s">
        <v>71</v>
      </c>
      <c r="D11" s="12" t="n">
        <v>154.25</v>
      </c>
      <c r="E11" s="12" t="n">
        <f aca="false">D11/16</f>
        <v>9.640625</v>
      </c>
      <c r="F11" s="4" t="s">
        <v>1120</v>
      </c>
      <c r="G11" s="4" t="s">
        <v>1121</v>
      </c>
      <c r="H11" s="4" t="s">
        <v>1122</v>
      </c>
      <c r="I11" s="6" t="n">
        <v>10.56</v>
      </c>
      <c r="J11" s="6" t="n">
        <f aca="false">D11*I11</f>
        <v>1628.88</v>
      </c>
      <c r="K11" s="13" t="s">
        <v>74</v>
      </c>
    </row>
    <row r="12" customFormat="false" ht="68.65" hidden="false" customHeight="false" outlineLevel="0" collapsed="false">
      <c r="A12" s="4" t="s">
        <v>450</v>
      </c>
      <c r="B12" s="11" t="s">
        <v>451</v>
      </c>
      <c r="C12" s="4" t="s">
        <v>71</v>
      </c>
      <c r="D12" s="12" t="n">
        <v>154.25</v>
      </c>
      <c r="E12" s="12" t="n">
        <f aca="false">D12/16</f>
        <v>9.640625</v>
      </c>
      <c r="F12" s="4" t="s">
        <v>1120</v>
      </c>
      <c r="G12" s="4"/>
      <c r="H12" s="4" t="s">
        <v>453</v>
      </c>
      <c r="I12" s="6" t="n">
        <v>42.95</v>
      </c>
      <c r="J12" s="6" t="n">
        <f aca="false">D12*I12</f>
        <v>6625.0375</v>
      </c>
      <c r="K12" s="13" t="s">
        <v>74</v>
      </c>
    </row>
    <row r="13" customFormat="false" ht="57.45" hidden="false" customHeight="false" outlineLevel="0" collapsed="false">
      <c r="A13" s="4" t="s">
        <v>1123</v>
      </c>
      <c r="B13" s="11" t="s">
        <v>1124</v>
      </c>
      <c r="C13" s="4" t="s">
        <v>128</v>
      </c>
      <c r="D13" s="12" t="n">
        <v>40</v>
      </c>
      <c r="E13" s="12" t="n">
        <f aca="false">D13/16</f>
        <v>2.5</v>
      </c>
      <c r="F13" s="4" t="s">
        <v>1125</v>
      </c>
      <c r="G13" s="4"/>
      <c r="H13" s="4" t="s">
        <v>1126</v>
      </c>
      <c r="I13" s="6" t="n">
        <v>39.92</v>
      </c>
      <c r="J13" s="6" t="n">
        <f aca="false">D13*I13</f>
        <v>1596.8</v>
      </c>
      <c r="K13" s="13" t="s">
        <v>74</v>
      </c>
    </row>
    <row r="14" customFormat="false" ht="23.85" hidden="false" customHeight="false" outlineLevel="0" collapsed="false">
      <c r="A14" s="4" t="s">
        <v>1127</v>
      </c>
      <c r="B14" s="11" t="s">
        <v>1128</v>
      </c>
      <c r="C14" s="4" t="s">
        <v>60</v>
      </c>
      <c r="D14" s="12" t="n">
        <v>100</v>
      </c>
      <c r="E14" s="12" t="n">
        <f aca="false">D14/16</f>
        <v>6.25</v>
      </c>
      <c r="F14" s="4"/>
      <c r="G14" s="4" t="s">
        <v>1129</v>
      </c>
      <c r="H14" s="4" t="s">
        <v>1130</v>
      </c>
      <c r="I14" s="6" t="n">
        <v>5.91</v>
      </c>
      <c r="J14" s="6" t="n">
        <f aca="false">D14*I14</f>
        <v>591</v>
      </c>
      <c r="K14" s="13" t="s">
        <v>74</v>
      </c>
    </row>
    <row r="15" customFormat="false" ht="102.2" hidden="false" customHeight="false" outlineLevel="0" collapsed="false">
      <c r="A15" s="4" t="s">
        <v>1131</v>
      </c>
      <c r="B15" s="11" t="s">
        <v>1132</v>
      </c>
      <c r="C15" s="4" t="s">
        <v>60</v>
      </c>
      <c r="D15" s="12" t="n">
        <v>1</v>
      </c>
      <c r="E15" s="12" t="n">
        <f aca="false">D15/16</f>
        <v>0.0625</v>
      </c>
      <c r="F15" s="4" t="s">
        <v>1133</v>
      </c>
      <c r="G15" s="4" t="s">
        <v>1134</v>
      </c>
      <c r="H15" s="4" t="s">
        <v>1135</v>
      </c>
      <c r="I15" s="6" t="n">
        <v>3535.3</v>
      </c>
      <c r="J15" s="6" t="n">
        <f aca="false">D15*I15</f>
        <v>3535.3</v>
      </c>
      <c r="K15" s="13" t="s">
        <v>74</v>
      </c>
    </row>
    <row r="16" customFormat="false" ht="102.2" hidden="false" customHeight="false" outlineLevel="0" collapsed="false">
      <c r="A16" s="4" t="s">
        <v>1136</v>
      </c>
      <c r="B16" s="11" t="s">
        <v>1137</v>
      </c>
      <c r="C16" s="4" t="s">
        <v>60</v>
      </c>
      <c r="D16" s="12" t="n">
        <v>1</v>
      </c>
      <c r="E16" s="12" t="n">
        <f aca="false">D16/16</f>
        <v>0.0625</v>
      </c>
      <c r="F16" s="4" t="s">
        <v>1138</v>
      </c>
      <c r="G16" s="4" t="s">
        <v>1139</v>
      </c>
      <c r="H16" s="4" t="s">
        <v>1140</v>
      </c>
      <c r="I16" s="6" t="n">
        <v>2589.16</v>
      </c>
      <c r="J16" s="6" t="n">
        <f aca="false">D16*I16</f>
        <v>2589.16</v>
      </c>
      <c r="K16" s="13" t="s">
        <v>74</v>
      </c>
    </row>
    <row r="17" customFormat="false" ht="46.25" hidden="false" customHeight="false" outlineLevel="0" collapsed="false">
      <c r="A17" s="4" t="s">
        <v>1141</v>
      </c>
      <c r="B17" s="11" t="s">
        <v>1142</v>
      </c>
      <c r="C17" s="4" t="s">
        <v>60</v>
      </c>
      <c r="D17" s="12" t="n">
        <v>2</v>
      </c>
      <c r="E17" s="12" t="n">
        <f aca="false">D17/16</f>
        <v>0.125</v>
      </c>
      <c r="F17" s="4" t="s">
        <v>1143</v>
      </c>
      <c r="G17" s="4"/>
      <c r="H17" s="4" t="s">
        <v>1144</v>
      </c>
      <c r="I17" s="6" t="n">
        <v>1529.79</v>
      </c>
      <c r="J17" s="6" t="n">
        <f aca="false">D17*I17</f>
        <v>3059.58</v>
      </c>
      <c r="K17" s="13" t="s">
        <v>74</v>
      </c>
    </row>
    <row r="18" customFormat="false" ht="46.25" hidden="false" customHeight="false" outlineLevel="0" collapsed="false">
      <c r="A18" s="4" t="s">
        <v>1145</v>
      </c>
      <c r="B18" s="11" t="s">
        <v>1146</v>
      </c>
      <c r="C18" s="4" t="s">
        <v>60</v>
      </c>
      <c r="D18" s="12" t="n">
        <v>3</v>
      </c>
      <c r="E18" s="12" t="n">
        <f aca="false">D18/16</f>
        <v>0.1875</v>
      </c>
      <c r="F18" s="4" t="s">
        <v>1147</v>
      </c>
      <c r="G18" s="4"/>
      <c r="H18" s="4" t="s">
        <v>1148</v>
      </c>
      <c r="I18" s="6" t="n">
        <v>231.1</v>
      </c>
      <c r="J18" s="6" t="n">
        <f aca="false">D18*I18</f>
        <v>693.3</v>
      </c>
      <c r="K18" s="13" t="s">
        <v>74</v>
      </c>
    </row>
    <row r="19" customFormat="false" ht="35.05" hidden="false" customHeight="false" outlineLevel="0" collapsed="false">
      <c r="A19" s="4" t="s">
        <v>1149</v>
      </c>
      <c r="B19" s="11" t="s">
        <v>1150</v>
      </c>
      <c r="C19" s="4" t="s">
        <v>60</v>
      </c>
      <c r="D19" s="12" t="n">
        <v>1</v>
      </c>
      <c r="E19" s="12" t="n">
        <f aca="false">D19/16</f>
        <v>0.0625</v>
      </c>
      <c r="F19" s="4"/>
      <c r="G19" s="4"/>
      <c r="H19" s="4" t="s">
        <v>1151</v>
      </c>
      <c r="I19" s="6" t="n">
        <v>157.19</v>
      </c>
      <c r="J19" s="6" t="n">
        <f aca="false">D19*I19</f>
        <v>157.19</v>
      </c>
      <c r="K19" s="13" t="s">
        <v>74</v>
      </c>
    </row>
    <row r="20" customFormat="false" ht="23.85" hidden="false" customHeight="false" outlineLevel="0" collapsed="false">
      <c r="A20" s="4" t="s">
        <v>1152</v>
      </c>
      <c r="B20" s="11" t="s">
        <v>1153</v>
      </c>
      <c r="C20" s="4" t="s">
        <v>60</v>
      </c>
      <c r="D20" s="12" t="n">
        <v>4</v>
      </c>
      <c r="E20" s="12" t="n">
        <f aca="false">D20/16</f>
        <v>0.25</v>
      </c>
      <c r="F20" s="4" t="s">
        <v>1154</v>
      </c>
      <c r="G20" s="4" t="s">
        <v>1121</v>
      </c>
      <c r="H20" s="4" t="s">
        <v>1155</v>
      </c>
      <c r="I20" s="6" t="n">
        <v>154.47</v>
      </c>
      <c r="J20" s="6" t="n">
        <f aca="false">D20*I20</f>
        <v>617.88</v>
      </c>
      <c r="K20" s="13" t="s">
        <v>74</v>
      </c>
    </row>
    <row r="21" customFormat="false" ht="46.25" hidden="false" customHeight="false" outlineLevel="0" collapsed="false">
      <c r="A21" s="4" t="s">
        <v>1156</v>
      </c>
      <c r="B21" s="11" t="s">
        <v>1157</v>
      </c>
      <c r="C21" s="4" t="s">
        <v>60</v>
      </c>
      <c r="D21" s="12" t="n">
        <v>3</v>
      </c>
      <c r="E21" s="12" t="n">
        <f aca="false">D21/16</f>
        <v>0.1875</v>
      </c>
      <c r="F21" s="4" t="s">
        <v>1147</v>
      </c>
      <c r="G21" s="4"/>
      <c r="H21" s="4" t="s">
        <v>1158</v>
      </c>
      <c r="I21" s="6" t="n">
        <v>186.66</v>
      </c>
      <c r="J21" s="6" t="n">
        <f aca="false">D21*I21</f>
        <v>559.98</v>
      </c>
      <c r="K21" s="13" t="s">
        <v>74</v>
      </c>
    </row>
    <row r="22" customFormat="false" ht="46.25" hidden="false" customHeight="false" outlineLevel="0" collapsed="false">
      <c r="A22" s="4" t="s">
        <v>1159</v>
      </c>
      <c r="B22" s="11" t="s">
        <v>1160</v>
      </c>
      <c r="C22" s="4" t="s">
        <v>60</v>
      </c>
      <c r="D22" s="12" t="n">
        <v>2</v>
      </c>
      <c r="E22" s="12" t="n">
        <f aca="false">D22/16</f>
        <v>0.125</v>
      </c>
      <c r="F22" s="4" t="s">
        <v>1161</v>
      </c>
      <c r="G22" s="4" t="s">
        <v>1162</v>
      </c>
      <c r="H22" s="4" t="s">
        <v>1163</v>
      </c>
      <c r="I22" s="6" t="n">
        <v>1673.03</v>
      </c>
      <c r="J22" s="6" t="n">
        <f aca="false">D22*I22</f>
        <v>3346.06</v>
      </c>
      <c r="K22" s="13" t="s">
        <v>74</v>
      </c>
    </row>
    <row r="23" customFormat="false" ht="46.25" hidden="false" customHeight="false" outlineLevel="0" collapsed="false">
      <c r="A23" s="4" t="s">
        <v>1164</v>
      </c>
      <c r="B23" s="11" t="s">
        <v>1165</v>
      </c>
      <c r="C23" s="4" t="s">
        <v>60</v>
      </c>
      <c r="D23" s="12" t="n">
        <v>1</v>
      </c>
      <c r="E23" s="12" t="n">
        <f aca="false">D23/16</f>
        <v>0.0625</v>
      </c>
      <c r="F23" s="4" t="s">
        <v>1138</v>
      </c>
      <c r="G23" s="4" t="s">
        <v>1166</v>
      </c>
      <c r="H23" s="4" t="s">
        <v>1167</v>
      </c>
      <c r="I23" s="6" t="n">
        <v>697.16</v>
      </c>
      <c r="J23" s="6" t="n">
        <f aca="false">D23*I23</f>
        <v>697.16</v>
      </c>
      <c r="K23" s="13" t="s">
        <v>74</v>
      </c>
    </row>
    <row r="24" s="7" customFormat="true" ht="15" hidden="false" customHeight="false" outlineLevel="0" collapsed="false">
      <c r="B24" s="7" t="s">
        <v>92</v>
      </c>
      <c r="J24" s="8" t="n">
        <f aca="false">SUM(J5:J23)</f>
        <v>34929.443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1168</v>
      </c>
    </row>
    <row r="2" customFormat="false" ht="15" hidden="false" customHeight="false" outlineLevel="0" collapsed="false">
      <c r="A2" s="2" t="s">
        <v>1169</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180.55" hidden="false" customHeight="false" outlineLevel="0" collapsed="false">
      <c r="A5" s="4" t="s">
        <v>1170</v>
      </c>
      <c r="B5" s="11" t="s">
        <v>1171</v>
      </c>
      <c r="C5" s="4" t="s">
        <v>71</v>
      </c>
      <c r="D5" s="12" t="n">
        <v>404.6</v>
      </c>
      <c r="E5" s="12" t="n">
        <f aca="false">D5/16</f>
        <v>25.2875</v>
      </c>
      <c r="F5" s="4" t="s">
        <v>1172</v>
      </c>
      <c r="G5" s="4" t="s">
        <v>1173</v>
      </c>
      <c r="H5" s="4" t="s">
        <v>1174</v>
      </c>
      <c r="I5" s="6" t="n">
        <v>33.09</v>
      </c>
      <c r="J5" s="6" t="n">
        <f aca="false">D5*I5</f>
        <v>13388.214</v>
      </c>
      <c r="K5" s="13" t="s">
        <v>74</v>
      </c>
    </row>
    <row r="6" customFormat="false" ht="135.8" hidden="false" customHeight="false" outlineLevel="0" collapsed="false">
      <c r="A6" s="4" t="s">
        <v>1175</v>
      </c>
      <c r="B6" s="11" t="s">
        <v>1176</v>
      </c>
      <c r="C6" s="4" t="s">
        <v>128</v>
      </c>
      <c r="D6" s="12" t="n">
        <v>289</v>
      </c>
      <c r="E6" s="12" t="n">
        <f aca="false">D6/16</f>
        <v>18.0625</v>
      </c>
      <c r="F6" s="4" t="s">
        <v>1177</v>
      </c>
      <c r="G6" s="4" t="s">
        <v>1178</v>
      </c>
      <c r="H6" s="4" t="s">
        <v>1179</v>
      </c>
      <c r="I6" s="6" t="n">
        <v>20.15</v>
      </c>
      <c r="J6" s="6" t="n">
        <f aca="false">D6*I6</f>
        <v>5823.35</v>
      </c>
      <c r="K6" s="13" t="s">
        <v>74</v>
      </c>
    </row>
    <row r="7" customFormat="false" ht="460.4" hidden="false" customHeight="false" outlineLevel="0" collapsed="false">
      <c r="A7" s="4" t="s">
        <v>1180</v>
      </c>
      <c r="B7" s="11" t="s">
        <v>1181</v>
      </c>
      <c r="C7" s="4" t="s">
        <v>71</v>
      </c>
      <c r="D7" s="12" t="n">
        <v>389.15</v>
      </c>
      <c r="E7" s="12" t="n">
        <f aca="false">D7/16</f>
        <v>24.321875</v>
      </c>
      <c r="F7" s="4" t="s">
        <v>1182</v>
      </c>
      <c r="G7" s="4" t="s">
        <v>1183</v>
      </c>
      <c r="H7" s="4" t="s">
        <v>1184</v>
      </c>
      <c r="I7" s="6" t="n">
        <v>31.64</v>
      </c>
      <c r="J7" s="6" t="n">
        <f aca="false">D7*I7</f>
        <v>12312.706</v>
      </c>
      <c r="K7" s="13" t="s">
        <v>74</v>
      </c>
    </row>
    <row r="8" customFormat="false" ht="337.3" hidden="false" customHeight="false" outlineLevel="0" collapsed="false">
      <c r="A8" s="4" t="s">
        <v>1185</v>
      </c>
      <c r="B8" s="11" t="s">
        <v>1186</v>
      </c>
      <c r="C8" s="4" t="s">
        <v>71</v>
      </c>
      <c r="D8" s="12" t="n">
        <v>374.77</v>
      </c>
      <c r="E8" s="12" t="n">
        <f aca="false">D8/16</f>
        <v>23.423125</v>
      </c>
      <c r="F8" s="4" t="s">
        <v>1187</v>
      </c>
      <c r="G8" s="4" t="s">
        <v>1188</v>
      </c>
      <c r="H8" s="4" t="s">
        <v>1189</v>
      </c>
      <c r="I8" s="6" t="n">
        <v>34.54</v>
      </c>
      <c r="J8" s="6" t="n">
        <f aca="false">D8*I8</f>
        <v>12944.5558</v>
      </c>
      <c r="K8" s="13" t="s">
        <v>74</v>
      </c>
    </row>
    <row r="9" customFormat="false" ht="281.3" hidden="false" customHeight="false" outlineLevel="0" collapsed="false">
      <c r="A9" s="4" t="s">
        <v>1190</v>
      </c>
      <c r="B9" s="11" t="s">
        <v>1191</v>
      </c>
      <c r="C9" s="4" t="s">
        <v>128</v>
      </c>
      <c r="D9" s="12" t="n">
        <v>276.45</v>
      </c>
      <c r="E9" s="12" t="n">
        <f aca="false">D9/16</f>
        <v>17.278125</v>
      </c>
      <c r="F9" s="4" t="s">
        <v>1192</v>
      </c>
      <c r="G9" s="4" t="s">
        <v>1193</v>
      </c>
      <c r="H9" s="4" t="s">
        <v>1194</v>
      </c>
      <c r="I9" s="6" t="n">
        <v>27.73</v>
      </c>
      <c r="J9" s="6" t="n">
        <f aca="false">D9*I9</f>
        <v>7665.9585</v>
      </c>
      <c r="K9" s="13" t="s">
        <v>74</v>
      </c>
    </row>
    <row r="10" customFormat="false" ht="57.45" hidden="false" customHeight="false" outlineLevel="0" collapsed="false">
      <c r="A10" s="4" t="s">
        <v>1195</v>
      </c>
      <c r="B10" s="11" t="s">
        <v>1196</v>
      </c>
      <c r="C10" s="4" t="s">
        <v>71</v>
      </c>
      <c r="D10" s="12" t="n">
        <v>724.95</v>
      </c>
      <c r="E10" s="12" t="n">
        <f aca="false">D10/16</f>
        <v>45.309375</v>
      </c>
      <c r="F10" s="4" t="s">
        <v>1197</v>
      </c>
      <c r="G10" s="4"/>
      <c r="H10" s="4" t="s">
        <v>1198</v>
      </c>
      <c r="I10" s="6" t="n">
        <v>7.79</v>
      </c>
      <c r="J10" s="6" t="n">
        <f aca="false">D10*I10</f>
        <v>5647.3605</v>
      </c>
      <c r="K10" s="13" t="s">
        <v>74</v>
      </c>
    </row>
    <row r="11" customFormat="false" ht="35.05" hidden="false" customHeight="false" outlineLevel="0" collapsed="false">
      <c r="A11" s="4" t="s">
        <v>1199</v>
      </c>
      <c r="B11" s="11" t="s">
        <v>1200</v>
      </c>
      <c r="C11" s="4" t="s">
        <v>60</v>
      </c>
      <c r="D11" s="12" t="n">
        <v>4</v>
      </c>
      <c r="E11" s="12" t="n">
        <f aca="false">D11/16</f>
        <v>0.25</v>
      </c>
      <c r="F11" s="4" t="s">
        <v>948</v>
      </c>
      <c r="G11" s="4"/>
      <c r="H11" s="4" t="s">
        <v>1201</v>
      </c>
      <c r="I11" s="6" t="n">
        <v>189.11</v>
      </c>
      <c r="J11" s="6" t="n">
        <f aca="false">D11*I11</f>
        <v>756.44</v>
      </c>
      <c r="K11" s="13" t="s">
        <v>74</v>
      </c>
    </row>
    <row r="12" customFormat="false" ht="57.45" hidden="false" customHeight="false" outlineLevel="0" collapsed="false">
      <c r="A12" s="4" t="s">
        <v>1202</v>
      </c>
      <c r="B12" s="11" t="s">
        <v>1203</v>
      </c>
      <c r="C12" s="4" t="s">
        <v>60</v>
      </c>
      <c r="D12" s="12" t="n">
        <v>3</v>
      </c>
      <c r="E12" s="12" t="n">
        <f aca="false">D12/16</f>
        <v>0.1875</v>
      </c>
      <c r="F12" s="4" t="s">
        <v>1204</v>
      </c>
      <c r="G12" s="4" t="s">
        <v>1205</v>
      </c>
      <c r="H12" s="4" t="s">
        <v>1206</v>
      </c>
      <c r="I12" s="6" t="n">
        <v>133.22</v>
      </c>
      <c r="J12" s="6" t="n">
        <f aca="false">D12*I12</f>
        <v>399.66</v>
      </c>
      <c r="K12" s="13" t="s">
        <v>74</v>
      </c>
    </row>
    <row r="13" customFormat="false" ht="57.45" hidden="false" customHeight="false" outlineLevel="0" collapsed="false">
      <c r="A13" s="4" t="s">
        <v>1207</v>
      </c>
      <c r="B13" s="11" t="s">
        <v>1208</v>
      </c>
      <c r="C13" s="4" t="s">
        <v>60</v>
      </c>
      <c r="D13" s="12" t="n">
        <v>28</v>
      </c>
      <c r="E13" s="12" t="n">
        <f aca="false">D13/16</f>
        <v>1.75</v>
      </c>
      <c r="F13" s="4" t="s">
        <v>1209</v>
      </c>
      <c r="G13" s="4"/>
      <c r="H13" s="4" t="s">
        <v>1210</v>
      </c>
      <c r="I13" s="6" t="n">
        <v>113.45</v>
      </c>
      <c r="J13" s="6" t="n">
        <f aca="false">D13*I13</f>
        <v>3176.6</v>
      </c>
      <c r="K13" s="13" t="s">
        <v>74</v>
      </c>
    </row>
    <row r="14" customFormat="false" ht="91" hidden="false" customHeight="false" outlineLevel="0" collapsed="false">
      <c r="A14" s="4" t="s">
        <v>1211</v>
      </c>
      <c r="B14" s="11" t="s">
        <v>1212</v>
      </c>
      <c r="C14" s="4" t="s">
        <v>60</v>
      </c>
      <c r="D14" s="12" t="n">
        <v>5</v>
      </c>
      <c r="E14" s="12" t="n">
        <f aca="false">D14/16</f>
        <v>0.3125</v>
      </c>
      <c r="F14" s="4" t="s">
        <v>1213</v>
      </c>
      <c r="G14" s="4" t="s">
        <v>1214</v>
      </c>
      <c r="H14" s="4" t="s">
        <v>1215</v>
      </c>
      <c r="I14" s="6" t="n">
        <v>878.13</v>
      </c>
      <c r="J14" s="6" t="n">
        <f aca="false">D14*I14</f>
        <v>4390.65</v>
      </c>
      <c r="K14" s="13" t="s">
        <v>74</v>
      </c>
    </row>
    <row r="15" customFormat="false" ht="46.25" hidden="false" customHeight="false" outlineLevel="0" collapsed="false">
      <c r="A15" s="4" t="s">
        <v>1216</v>
      </c>
      <c r="B15" s="11" t="s">
        <v>1217</v>
      </c>
      <c r="C15" s="4" t="s">
        <v>60</v>
      </c>
      <c r="D15" s="12" t="n">
        <v>2</v>
      </c>
      <c r="E15" s="12" t="n">
        <f aca="false">D15/16</f>
        <v>0.125</v>
      </c>
      <c r="F15" s="4" t="s">
        <v>1218</v>
      </c>
      <c r="G15" s="4" t="s">
        <v>1219</v>
      </c>
      <c r="H15" s="4" t="s">
        <v>1220</v>
      </c>
      <c r="I15" s="6" t="n">
        <v>71.79</v>
      </c>
      <c r="J15" s="6" t="n">
        <f aca="false">D15*I15</f>
        <v>143.58</v>
      </c>
      <c r="K15" s="13" t="s">
        <v>74</v>
      </c>
    </row>
    <row r="16" customFormat="false" ht="79.85" hidden="false" customHeight="false" outlineLevel="0" collapsed="false">
      <c r="A16" s="4" t="s">
        <v>1221</v>
      </c>
      <c r="B16" s="11" t="s">
        <v>1222</v>
      </c>
      <c r="C16" s="4" t="s">
        <v>60</v>
      </c>
      <c r="D16" s="12" t="n">
        <v>1</v>
      </c>
      <c r="E16" s="12" t="n">
        <f aca="false">D16/16</f>
        <v>0.0625</v>
      </c>
      <c r="F16" s="4" t="s">
        <v>1223</v>
      </c>
      <c r="G16" s="4"/>
      <c r="H16" s="4" t="s">
        <v>1224</v>
      </c>
      <c r="I16" s="6" t="n">
        <v>61.08</v>
      </c>
      <c r="J16" s="6" t="n">
        <f aca="false">D16*I16</f>
        <v>61.08</v>
      </c>
      <c r="K16" s="13" t="s">
        <v>74</v>
      </c>
    </row>
    <row r="17" customFormat="false" ht="23.85" hidden="false" customHeight="false" outlineLevel="0" collapsed="false">
      <c r="A17" s="4" t="s">
        <v>1225</v>
      </c>
      <c r="B17" s="11" t="s">
        <v>1226</v>
      </c>
      <c r="C17" s="4" t="s">
        <v>1227</v>
      </c>
      <c r="D17" s="12" t="n">
        <v>1</v>
      </c>
      <c r="E17" s="12" t="n">
        <f aca="false">D17/16</f>
        <v>0.0625</v>
      </c>
      <c r="F17" s="4" t="s">
        <v>652</v>
      </c>
      <c r="G17" s="4"/>
      <c r="H17" s="4" t="s">
        <v>1228</v>
      </c>
      <c r="I17" s="6" t="n">
        <v>1940.36</v>
      </c>
      <c r="J17" s="6" t="n">
        <f aca="false">D17*I17</f>
        <v>1940.36</v>
      </c>
      <c r="K17" s="13" t="s">
        <v>74</v>
      </c>
    </row>
    <row r="18" customFormat="false" ht="23.85" hidden="false" customHeight="false" outlineLevel="0" collapsed="false">
      <c r="A18" s="4" t="s">
        <v>1229</v>
      </c>
      <c r="B18" s="11" t="s">
        <v>1230</v>
      </c>
      <c r="C18" s="4" t="s">
        <v>60</v>
      </c>
      <c r="D18" s="12" t="n">
        <v>2</v>
      </c>
      <c r="E18" s="12" t="n">
        <f aca="false">D18/16</f>
        <v>0.125</v>
      </c>
      <c r="F18" s="4" t="s">
        <v>1231</v>
      </c>
      <c r="G18" s="4"/>
      <c r="H18" s="4" t="s">
        <v>1232</v>
      </c>
      <c r="I18" s="6" t="n">
        <v>32.59</v>
      </c>
      <c r="J18" s="6" t="n">
        <f aca="false">D18*I18</f>
        <v>65.18</v>
      </c>
      <c r="K18" s="13" t="s">
        <v>74</v>
      </c>
    </row>
    <row r="19" customFormat="false" ht="35.05" hidden="false" customHeight="false" outlineLevel="0" collapsed="false">
      <c r="A19" s="4" t="s">
        <v>1233</v>
      </c>
      <c r="B19" s="11" t="s">
        <v>1234</v>
      </c>
      <c r="C19" s="4" t="s">
        <v>60</v>
      </c>
      <c r="D19" s="12" t="n">
        <v>2</v>
      </c>
      <c r="E19" s="12" t="n">
        <f aca="false">D19/16</f>
        <v>0.125</v>
      </c>
      <c r="F19" s="4" t="s">
        <v>1231</v>
      </c>
      <c r="G19" s="4"/>
      <c r="H19" s="4" t="s">
        <v>1235</v>
      </c>
      <c r="I19" s="6" t="n">
        <v>34.89</v>
      </c>
      <c r="J19" s="6" t="n">
        <f aca="false">D19*I19</f>
        <v>69.78</v>
      </c>
      <c r="K19" s="13" t="s">
        <v>74</v>
      </c>
    </row>
    <row r="20" customFormat="false" ht="35.05" hidden="false" customHeight="false" outlineLevel="0" collapsed="false">
      <c r="A20" s="4" t="s">
        <v>1236</v>
      </c>
      <c r="B20" s="11" t="s">
        <v>1237</v>
      </c>
      <c r="C20" s="4" t="s">
        <v>60</v>
      </c>
      <c r="D20" s="12" t="n">
        <v>2</v>
      </c>
      <c r="E20" s="12" t="n">
        <f aca="false">D20/16</f>
        <v>0.125</v>
      </c>
      <c r="F20" s="4" t="s">
        <v>1231</v>
      </c>
      <c r="G20" s="4"/>
      <c r="H20" s="4" t="s">
        <v>1238</v>
      </c>
      <c r="I20" s="6" t="n">
        <v>91.9</v>
      </c>
      <c r="J20" s="6" t="n">
        <f aca="false">D20*I20</f>
        <v>183.8</v>
      </c>
      <c r="K20" s="13" t="s">
        <v>74</v>
      </c>
    </row>
    <row r="21" customFormat="false" ht="35.05" hidden="false" customHeight="false" outlineLevel="0" collapsed="false">
      <c r="A21" s="4" t="s">
        <v>1239</v>
      </c>
      <c r="B21" s="11" t="s">
        <v>1240</v>
      </c>
      <c r="C21" s="4" t="s">
        <v>60</v>
      </c>
      <c r="D21" s="12" t="n">
        <v>13</v>
      </c>
      <c r="E21" s="12" t="n">
        <f aca="false">D21/16</f>
        <v>0.8125</v>
      </c>
      <c r="F21" s="4" t="s">
        <v>1241</v>
      </c>
      <c r="G21" s="4"/>
      <c r="H21" s="4" t="s">
        <v>1242</v>
      </c>
      <c r="I21" s="6" t="n">
        <v>11.75</v>
      </c>
      <c r="J21" s="6" t="n">
        <f aca="false">D21*I21</f>
        <v>152.75</v>
      </c>
      <c r="K21" s="13" t="s">
        <v>74</v>
      </c>
    </row>
    <row r="22" customFormat="false" ht="147" hidden="false" customHeight="false" outlineLevel="0" collapsed="false">
      <c r="A22" s="4" t="s">
        <v>1243</v>
      </c>
      <c r="B22" s="11" t="s">
        <v>1244</v>
      </c>
      <c r="C22" s="4" t="s">
        <v>60</v>
      </c>
      <c r="D22" s="12" t="n">
        <v>16</v>
      </c>
      <c r="E22" s="12" t="n">
        <f aca="false">D22/16</f>
        <v>1</v>
      </c>
      <c r="F22" s="4" t="s">
        <v>1245</v>
      </c>
      <c r="G22" s="4" t="s">
        <v>1246</v>
      </c>
      <c r="H22" s="4" t="s">
        <v>1247</v>
      </c>
      <c r="I22" s="6" t="n">
        <v>824.85</v>
      </c>
      <c r="J22" s="6" t="n">
        <f aca="false">D22*I22</f>
        <v>13197.6</v>
      </c>
      <c r="K22" s="13" t="s">
        <v>74</v>
      </c>
    </row>
    <row r="23" customFormat="false" ht="147" hidden="false" customHeight="false" outlineLevel="0" collapsed="false">
      <c r="A23" s="4" t="s">
        <v>1248</v>
      </c>
      <c r="B23" s="11" t="s">
        <v>1249</v>
      </c>
      <c r="C23" s="4" t="s">
        <v>60</v>
      </c>
      <c r="D23" s="12" t="n">
        <v>2</v>
      </c>
      <c r="E23" s="12" t="n">
        <f aca="false">D23/16</f>
        <v>0.125</v>
      </c>
      <c r="F23" s="4" t="s">
        <v>1250</v>
      </c>
      <c r="G23" s="4" t="s">
        <v>1251</v>
      </c>
      <c r="H23" s="4" t="s">
        <v>1252</v>
      </c>
      <c r="I23" s="6" t="n">
        <v>1030.93</v>
      </c>
      <c r="J23" s="6" t="n">
        <f aca="false">D23*I23</f>
        <v>2061.86</v>
      </c>
      <c r="K23" s="13" t="s">
        <v>74</v>
      </c>
    </row>
    <row r="24" customFormat="false" ht="147" hidden="false" customHeight="false" outlineLevel="0" collapsed="false">
      <c r="A24" s="4" t="s">
        <v>1253</v>
      </c>
      <c r="B24" s="11" t="s">
        <v>1254</v>
      </c>
      <c r="C24" s="4" t="s">
        <v>60</v>
      </c>
      <c r="D24" s="12" t="n">
        <v>16</v>
      </c>
      <c r="E24" s="12" t="n">
        <f aca="false">D24/16</f>
        <v>1</v>
      </c>
      <c r="F24" s="4" t="s">
        <v>1255</v>
      </c>
      <c r="G24" s="4" t="s">
        <v>1256</v>
      </c>
      <c r="H24" s="4" t="s">
        <v>1257</v>
      </c>
      <c r="I24" s="6" t="n">
        <v>2181.32</v>
      </c>
      <c r="J24" s="6" t="n">
        <f aca="false">D24*I24</f>
        <v>34901.12</v>
      </c>
      <c r="K24" s="13" t="s">
        <v>74</v>
      </c>
    </row>
    <row r="25" customFormat="false" ht="102.2" hidden="false" customHeight="false" outlineLevel="0" collapsed="false">
      <c r="A25" s="4" t="s">
        <v>1258</v>
      </c>
      <c r="B25" s="11" t="s">
        <v>1259</v>
      </c>
      <c r="C25" s="4" t="s">
        <v>71</v>
      </c>
      <c r="D25" s="12" t="n">
        <v>178.48</v>
      </c>
      <c r="E25" s="12" t="n">
        <f aca="false">D25/16</f>
        <v>11.155</v>
      </c>
      <c r="F25" s="4" t="s">
        <v>1260</v>
      </c>
      <c r="G25" s="4" t="s">
        <v>1261</v>
      </c>
      <c r="H25" s="4" t="s">
        <v>1262</v>
      </c>
      <c r="I25" s="6" t="n">
        <v>146.46</v>
      </c>
      <c r="J25" s="6" t="n">
        <f aca="false">D25*I25</f>
        <v>26140.1808</v>
      </c>
      <c r="K25" s="13" t="s">
        <v>74</v>
      </c>
    </row>
    <row r="26" customFormat="false" ht="79.85" hidden="false" customHeight="false" outlineLevel="0" collapsed="false">
      <c r="A26" s="4" t="s">
        <v>1263</v>
      </c>
      <c r="B26" s="11" t="s">
        <v>1264</v>
      </c>
      <c r="C26" s="4" t="s">
        <v>128</v>
      </c>
      <c r="D26" s="12" t="n">
        <v>120.55</v>
      </c>
      <c r="E26" s="12" t="n">
        <f aca="false">D26/16</f>
        <v>7.534375</v>
      </c>
      <c r="F26" s="4" t="s">
        <v>1265</v>
      </c>
      <c r="G26" s="4" t="s">
        <v>1266</v>
      </c>
      <c r="H26" s="4" t="s">
        <v>1267</v>
      </c>
      <c r="I26" s="6" t="n">
        <v>45.26</v>
      </c>
      <c r="J26" s="6" t="n">
        <f aca="false">D26*I26</f>
        <v>5456.093</v>
      </c>
      <c r="K26" s="13" t="s">
        <v>74</v>
      </c>
    </row>
    <row r="27" customFormat="false" ht="79.85" hidden="false" customHeight="false" outlineLevel="0" collapsed="false">
      <c r="A27" s="4" t="s">
        <v>1268</v>
      </c>
      <c r="B27" s="11" t="s">
        <v>1269</v>
      </c>
      <c r="C27" s="4" t="s">
        <v>128</v>
      </c>
      <c r="D27" s="12" t="n">
        <v>3</v>
      </c>
      <c r="E27" s="12" t="n">
        <f aca="false">D27/16</f>
        <v>0.1875</v>
      </c>
      <c r="F27" s="4" t="s">
        <v>1270</v>
      </c>
      <c r="G27" s="4" t="s">
        <v>1266</v>
      </c>
      <c r="H27" s="4" t="s">
        <v>1271</v>
      </c>
      <c r="I27" s="6" t="n">
        <v>75.65</v>
      </c>
      <c r="J27" s="6" t="n">
        <f aca="false">D27*I27</f>
        <v>226.95</v>
      </c>
      <c r="K27" s="13" t="s">
        <v>74</v>
      </c>
    </row>
    <row r="28" customFormat="false" ht="191.75" hidden="false" customHeight="false" outlineLevel="0" collapsed="false">
      <c r="A28" s="4" t="s">
        <v>1272</v>
      </c>
      <c r="B28" s="11" t="s">
        <v>1273</v>
      </c>
      <c r="C28" s="4" t="s">
        <v>128</v>
      </c>
      <c r="D28" s="12" t="n">
        <v>478.85</v>
      </c>
      <c r="E28" s="12" t="n">
        <f aca="false">D28/16</f>
        <v>29.928125</v>
      </c>
      <c r="F28" s="4" t="s">
        <v>1274</v>
      </c>
      <c r="G28" s="4" t="s">
        <v>1266</v>
      </c>
      <c r="H28" s="4" t="s">
        <v>1275</v>
      </c>
      <c r="I28" s="6" t="n">
        <v>83.42</v>
      </c>
      <c r="J28" s="6" t="n">
        <f aca="false">D28*I28</f>
        <v>39945.667</v>
      </c>
      <c r="K28" s="13" t="s">
        <v>74</v>
      </c>
    </row>
    <row r="29" customFormat="false" ht="79.85" hidden="false" customHeight="false" outlineLevel="0" collapsed="false">
      <c r="A29" s="4" t="s">
        <v>1276</v>
      </c>
      <c r="B29" s="11" t="s">
        <v>1277</v>
      </c>
      <c r="C29" s="4" t="s">
        <v>128</v>
      </c>
      <c r="D29" s="12" t="n">
        <v>16</v>
      </c>
      <c r="E29" s="12" t="n">
        <f aca="false">D29/16</f>
        <v>1</v>
      </c>
      <c r="F29" s="4" t="s">
        <v>1278</v>
      </c>
      <c r="G29" s="4" t="s">
        <v>1266</v>
      </c>
      <c r="H29" s="4" t="s">
        <v>1279</v>
      </c>
      <c r="I29" s="6" t="n">
        <v>105.74</v>
      </c>
      <c r="J29" s="6" t="n">
        <f aca="false">D29*I29</f>
        <v>1691.84</v>
      </c>
      <c r="K29" s="13" t="s">
        <v>74</v>
      </c>
    </row>
    <row r="30" s="7" customFormat="true" ht="15" hidden="false" customHeight="false" outlineLevel="0" collapsed="false">
      <c r="B30" s="7" t="s">
        <v>92</v>
      </c>
      <c r="J30" s="8" t="n">
        <f aca="false">SUM(J5:J29)</f>
        <v>192743.3356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1280</v>
      </c>
    </row>
    <row r="2" customFormat="false" ht="15" hidden="false" customHeight="false" outlineLevel="0" collapsed="false">
      <c r="A2" s="2" t="s">
        <v>1281</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23.85" hidden="false" customHeight="false" outlineLevel="0" collapsed="false">
      <c r="A5" s="4" t="s">
        <v>1282</v>
      </c>
      <c r="B5" s="11" t="s">
        <v>1283</v>
      </c>
      <c r="C5" s="4" t="s">
        <v>128</v>
      </c>
      <c r="D5" s="12" t="n">
        <v>1</v>
      </c>
      <c r="E5" s="12" t="n">
        <f aca="false">D5/16</f>
        <v>0.0625</v>
      </c>
      <c r="F5" s="4" t="s">
        <v>652</v>
      </c>
      <c r="G5" s="4"/>
      <c r="H5" s="4" t="s">
        <v>1284</v>
      </c>
      <c r="I5" s="6" t="n">
        <v>31714.16</v>
      </c>
      <c r="J5" s="6" t="n">
        <f aca="false">D5*I5</f>
        <v>31714.16</v>
      </c>
      <c r="K5" s="13" t="s">
        <v>74</v>
      </c>
    </row>
    <row r="6" s="7" customFormat="true" ht="15" hidden="false" customHeight="false" outlineLevel="0" collapsed="false">
      <c r="B6" s="7" t="s">
        <v>92</v>
      </c>
      <c r="J6" s="8" t="n">
        <f aca="false">SUM(J5:J5)</f>
        <v>31714.16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1285</v>
      </c>
    </row>
    <row r="2" customFormat="false" ht="15" hidden="false" customHeight="false" outlineLevel="0" collapsed="false">
      <c r="A2" s="2" t="s">
        <v>1286</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79.85" hidden="false" customHeight="false" outlineLevel="0" collapsed="false">
      <c r="A5" s="4" t="s">
        <v>1287</v>
      </c>
      <c r="B5" s="11" t="s">
        <v>1288</v>
      </c>
      <c r="C5" s="4" t="s">
        <v>60</v>
      </c>
      <c r="D5" s="12" t="n">
        <v>48</v>
      </c>
      <c r="E5" s="12" t="n">
        <f aca="false">D5/16</f>
        <v>3</v>
      </c>
      <c r="F5" s="4" t="s">
        <v>1289</v>
      </c>
      <c r="G5" s="4"/>
      <c r="H5" s="4" t="s">
        <v>1290</v>
      </c>
      <c r="I5" s="6" t="n">
        <v>63.47</v>
      </c>
      <c r="J5" s="6" t="n">
        <f aca="false">D5*I5</f>
        <v>3046.56</v>
      </c>
      <c r="K5" s="13" t="s">
        <v>74</v>
      </c>
    </row>
    <row r="6" customFormat="false" ht="79.85" hidden="false" customHeight="false" outlineLevel="0" collapsed="false">
      <c r="A6" s="4" t="s">
        <v>1291</v>
      </c>
      <c r="B6" s="11" t="s">
        <v>1292</v>
      </c>
      <c r="C6" s="4" t="s">
        <v>60</v>
      </c>
      <c r="D6" s="12" t="n">
        <v>64</v>
      </c>
      <c r="E6" s="12" t="n">
        <f aca="false">D6/16</f>
        <v>4</v>
      </c>
      <c r="F6" s="4" t="s">
        <v>1293</v>
      </c>
      <c r="G6" s="4"/>
      <c r="H6" s="4" t="s">
        <v>1294</v>
      </c>
      <c r="I6" s="6" t="n">
        <v>63.46</v>
      </c>
      <c r="J6" s="6" t="n">
        <f aca="false">D6*I6</f>
        <v>4061.44</v>
      </c>
      <c r="K6" s="13" t="s">
        <v>74</v>
      </c>
    </row>
    <row r="7" customFormat="false" ht="68.65" hidden="false" customHeight="false" outlineLevel="0" collapsed="false">
      <c r="A7" s="4" t="s">
        <v>1295</v>
      </c>
      <c r="B7" s="11" t="s">
        <v>1296</v>
      </c>
      <c r="C7" s="4" t="s">
        <v>60</v>
      </c>
      <c r="D7" s="12" t="n">
        <v>16</v>
      </c>
      <c r="E7" s="12" t="n">
        <f aca="false">D7/16</f>
        <v>1</v>
      </c>
      <c r="F7" s="4" t="s">
        <v>317</v>
      </c>
      <c r="G7" s="4"/>
      <c r="H7" s="4" t="s">
        <v>1297</v>
      </c>
      <c r="I7" s="6" t="n">
        <v>81.55</v>
      </c>
      <c r="J7" s="6" t="n">
        <f aca="false">D7*I7</f>
        <v>1304.8</v>
      </c>
      <c r="K7" s="13" t="s">
        <v>74</v>
      </c>
    </row>
    <row r="8" customFormat="false" ht="57.45" hidden="false" customHeight="false" outlineLevel="0" collapsed="false">
      <c r="A8" s="4" t="s">
        <v>1298</v>
      </c>
      <c r="B8" s="11" t="s">
        <v>1299</v>
      </c>
      <c r="C8" s="4" t="s">
        <v>1227</v>
      </c>
      <c r="D8" s="12" t="n">
        <v>48</v>
      </c>
      <c r="E8" s="12" t="n">
        <f aca="false">D8/16</f>
        <v>3</v>
      </c>
      <c r="F8" s="4" t="s">
        <v>1300</v>
      </c>
      <c r="G8" s="4" t="s">
        <v>1301</v>
      </c>
      <c r="H8" s="4" t="s">
        <v>1302</v>
      </c>
      <c r="I8" s="6" t="n">
        <v>42.87</v>
      </c>
      <c r="J8" s="6" t="n">
        <f aca="false">D8*I8</f>
        <v>2057.76</v>
      </c>
      <c r="K8" s="13" t="s">
        <v>74</v>
      </c>
    </row>
    <row r="9" customFormat="false" ht="23.85" hidden="false" customHeight="false" outlineLevel="0" collapsed="false">
      <c r="A9" s="4" t="s">
        <v>1303</v>
      </c>
      <c r="B9" s="11" t="s">
        <v>1304</v>
      </c>
      <c r="C9" s="4" t="s">
        <v>1227</v>
      </c>
      <c r="D9" s="12" t="n">
        <v>16</v>
      </c>
      <c r="E9" s="12" t="n">
        <f aca="false">D9/16</f>
        <v>1</v>
      </c>
      <c r="F9" s="4" t="s">
        <v>317</v>
      </c>
      <c r="G9" s="4"/>
      <c r="H9" s="4" t="s">
        <v>1305</v>
      </c>
      <c r="I9" s="6" t="n">
        <v>6.39</v>
      </c>
      <c r="J9" s="6" t="n">
        <f aca="false">D9*I9</f>
        <v>102.24</v>
      </c>
      <c r="K9" s="13" t="s">
        <v>74</v>
      </c>
    </row>
    <row r="10" customFormat="false" ht="23.85" hidden="false" customHeight="false" outlineLevel="0" collapsed="false">
      <c r="A10" s="4" t="s">
        <v>1306</v>
      </c>
      <c r="B10" s="11" t="s">
        <v>1307</v>
      </c>
      <c r="C10" s="4" t="s">
        <v>1227</v>
      </c>
      <c r="D10" s="12" t="n">
        <v>16</v>
      </c>
      <c r="E10" s="12" t="n">
        <f aca="false">D10/16</f>
        <v>1</v>
      </c>
      <c r="F10" s="4" t="s">
        <v>317</v>
      </c>
      <c r="G10" s="4"/>
      <c r="H10" s="4" t="s">
        <v>1308</v>
      </c>
      <c r="I10" s="6" t="n">
        <v>10.53</v>
      </c>
      <c r="J10" s="6" t="n">
        <f aca="false">D10*I10</f>
        <v>168.48</v>
      </c>
      <c r="K10" s="13" t="s">
        <v>74</v>
      </c>
    </row>
    <row r="11" customFormat="false" ht="23.85" hidden="false" customHeight="false" outlineLevel="0" collapsed="false">
      <c r="A11" s="4" t="s">
        <v>1309</v>
      </c>
      <c r="B11" s="11" t="s">
        <v>1310</v>
      </c>
      <c r="C11" s="4" t="s">
        <v>1227</v>
      </c>
      <c r="D11" s="12" t="n">
        <v>16</v>
      </c>
      <c r="E11" s="12" t="n">
        <f aca="false">D11/16</f>
        <v>1</v>
      </c>
      <c r="F11" s="4" t="s">
        <v>317</v>
      </c>
      <c r="G11" s="4"/>
      <c r="H11" s="4" t="s">
        <v>1311</v>
      </c>
      <c r="I11" s="6" t="n">
        <v>90.25</v>
      </c>
      <c r="J11" s="6" t="n">
        <f aca="false">D11*I11</f>
        <v>1444</v>
      </c>
      <c r="K11" s="13" t="s">
        <v>74</v>
      </c>
    </row>
    <row r="12" customFormat="false" ht="102.2" hidden="false" customHeight="false" outlineLevel="0" collapsed="false">
      <c r="A12" s="4" t="s">
        <v>1312</v>
      </c>
      <c r="B12" s="11" t="s">
        <v>1313</v>
      </c>
      <c r="C12" s="4" t="s">
        <v>60</v>
      </c>
      <c r="D12" s="12" t="n">
        <v>9</v>
      </c>
      <c r="E12" s="12" t="n">
        <f aca="false">D12/16</f>
        <v>0.5625</v>
      </c>
      <c r="F12" s="4" t="s">
        <v>1314</v>
      </c>
      <c r="G12" s="4"/>
      <c r="H12" s="4" t="s">
        <v>1315</v>
      </c>
      <c r="I12" s="6" t="n">
        <v>344.17</v>
      </c>
      <c r="J12" s="6" t="n">
        <f aca="false">D12*I12</f>
        <v>3097.53</v>
      </c>
      <c r="K12" s="4" t="s">
        <v>169</v>
      </c>
    </row>
    <row r="13" customFormat="false" ht="68.65" hidden="false" customHeight="false" outlineLevel="0" collapsed="false">
      <c r="A13" s="4" t="s">
        <v>1316</v>
      </c>
      <c r="B13" s="11" t="s">
        <v>1317</v>
      </c>
      <c r="C13" s="4" t="s">
        <v>1227</v>
      </c>
      <c r="D13" s="12" t="n">
        <v>16</v>
      </c>
      <c r="E13" s="12" t="n">
        <f aca="false">D13/16</f>
        <v>1</v>
      </c>
      <c r="F13" s="4" t="s">
        <v>317</v>
      </c>
      <c r="G13" s="4"/>
      <c r="H13" s="4" t="s">
        <v>1318</v>
      </c>
      <c r="I13" s="6" t="n">
        <v>84.99</v>
      </c>
      <c r="J13" s="6" t="n">
        <f aca="false">D13*I13</f>
        <v>1359.84</v>
      </c>
      <c r="K13" s="13" t="s">
        <v>74</v>
      </c>
    </row>
    <row r="14" customFormat="false" ht="68.65" hidden="false" customHeight="false" outlineLevel="0" collapsed="false">
      <c r="A14" s="4" t="s">
        <v>1319</v>
      </c>
      <c r="B14" s="11" t="s">
        <v>1320</v>
      </c>
      <c r="C14" s="4" t="s">
        <v>1227</v>
      </c>
      <c r="D14" s="12" t="n">
        <v>16</v>
      </c>
      <c r="E14" s="12" t="n">
        <f aca="false">D14/16</f>
        <v>1</v>
      </c>
      <c r="F14" s="4" t="s">
        <v>317</v>
      </c>
      <c r="G14" s="4"/>
      <c r="H14" s="4" t="s">
        <v>1321</v>
      </c>
      <c r="I14" s="6" t="n">
        <v>233.37</v>
      </c>
      <c r="J14" s="6" t="n">
        <f aca="false">D14*I14</f>
        <v>3733.92</v>
      </c>
      <c r="K14" s="13" t="s">
        <v>74</v>
      </c>
    </row>
    <row r="15" customFormat="false" ht="124.6" hidden="false" customHeight="false" outlineLevel="0" collapsed="false">
      <c r="A15" s="4" t="s">
        <v>1322</v>
      </c>
      <c r="B15" s="11" t="s">
        <v>1323</v>
      </c>
      <c r="C15" s="4" t="s">
        <v>60</v>
      </c>
      <c r="D15" s="12" t="n">
        <v>16</v>
      </c>
      <c r="E15" s="12" t="n">
        <f aca="false">D15/16</f>
        <v>1</v>
      </c>
      <c r="F15" s="4" t="s">
        <v>317</v>
      </c>
      <c r="G15" s="4"/>
      <c r="H15" s="4" t="s">
        <v>1324</v>
      </c>
      <c r="I15" s="6" t="n">
        <v>169.68</v>
      </c>
      <c r="J15" s="6" t="n">
        <f aca="false">D15*I15</f>
        <v>2714.88</v>
      </c>
      <c r="K15" s="4" t="s">
        <v>169</v>
      </c>
    </row>
    <row r="16" customFormat="false" ht="258.95" hidden="false" customHeight="false" outlineLevel="0" collapsed="false">
      <c r="A16" s="4" t="s">
        <v>1325</v>
      </c>
      <c r="B16" s="11" t="s">
        <v>1326</v>
      </c>
      <c r="C16" s="4" t="s">
        <v>60</v>
      </c>
      <c r="D16" s="12" t="n">
        <v>16</v>
      </c>
      <c r="E16" s="12" t="n">
        <f aca="false">D16/16</f>
        <v>1</v>
      </c>
      <c r="F16" s="4" t="s">
        <v>317</v>
      </c>
      <c r="G16" s="4"/>
      <c r="H16" s="4" t="s">
        <v>1327</v>
      </c>
      <c r="I16" s="6" t="n">
        <v>169.52</v>
      </c>
      <c r="J16" s="6" t="n">
        <f aca="false">D16*I16</f>
        <v>2712.32</v>
      </c>
      <c r="K16" s="4" t="s">
        <v>169</v>
      </c>
    </row>
    <row r="17" customFormat="false" ht="46.25" hidden="false" customHeight="false" outlineLevel="0" collapsed="false">
      <c r="A17" s="4" t="s">
        <v>1328</v>
      </c>
      <c r="B17" s="11" t="s">
        <v>1329</v>
      </c>
      <c r="C17" s="4" t="s">
        <v>60</v>
      </c>
      <c r="D17" s="12" t="n">
        <v>1</v>
      </c>
      <c r="E17" s="12" t="n">
        <f aca="false">D17/16</f>
        <v>0.0625</v>
      </c>
      <c r="F17" s="4" t="s">
        <v>1133</v>
      </c>
      <c r="G17" s="4"/>
      <c r="H17" s="4" t="s">
        <v>1330</v>
      </c>
      <c r="I17" s="6" t="n">
        <v>197.97</v>
      </c>
      <c r="J17" s="6" t="n">
        <f aca="false">D17*I17</f>
        <v>197.97</v>
      </c>
      <c r="K17" s="13" t="s">
        <v>74</v>
      </c>
    </row>
    <row r="18" customFormat="false" ht="57.45" hidden="false" customHeight="false" outlineLevel="0" collapsed="false">
      <c r="A18" s="4" t="s">
        <v>1331</v>
      </c>
      <c r="B18" s="11" t="s">
        <v>1332</v>
      </c>
      <c r="C18" s="4" t="s">
        <v>60</v>
      </c>
      <c r="D18" s="12" t="n">
        <v>16</v>
      </c>
      <c r="E18" s="12" t="n">
        <f aca="false">D18/16</f>
        <v>1</v>
      </c>
      <c r="F18" s="4" t="s">
        <v>1333</v>
      </c>
      <c r="G18" s="4"/>
      <c r="H18" s="4" t="s">
        <v>1334</v>
      </c>
      <c r="I18" s="6" t="n">
        <v>1530.39</v>
      </c>
      <c r="J18" s="6" t="n">
        <f aca="false">D18*I18</f>
        <v>24486.24</v>
      </c>
      <c r="K18" s="13" t="s">
        <v>74</v>
      </c>
    </row>
    <row r="19" s="7" customFormat="true" ht="15" hidden="false" customHeight="false" outlineLevel="0" collapsed="false">
      <c r="B19" s="7" t="s">
        <v>92</v>
      </c>
      <c r="J19" s="8" t="n">
        <f aca="false">SUM(J5:J18)</f>
        <v>50487.98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70"/>
    <col collapsed="false" customWidth="true" hidden="false" outlineLevel="0" max="9" min="9" style="0" width="10"/>
    <col collapsed="false" customWidth="true" hidden="false" outlineLevel="0" max="10" min="10" style="0" width="12"/>
    <col collapsed="false" customWidth="true" hidden="false" outlineLevel="0" max="11" min="11" style="0" width="24"/>
  </cols>
  <sheetData>
    <row r="1" customFormat="false" ht="17.35" hidden="false" customHeight="false" outlineLevel="0" collapsed="false">
      <c r="A1" s="1" t="s">
        <v>1335</v>
      </c>
    </row>
    <row r="2" customFormat="false" ht="15" hidden="false" customHeight="false" outlineLevel="0" collapsed="false">
      <c r="A2" s="2" t="s">
        <v>1336</v>
      </c>
    </row>
    <row r="4" customFormat="false" ht="30" hidden="false" customHeight="true" outlineLevel="0" collapsed="false">
      <c r="A4" s="3" t="s">
        <v>58</v>
      </c>
      <c r="B4" s="3" t="s">
        <v>59</v>
      </c>
      <c r="C4" s="3" t="s">
        <v>60</v>
      </c>
      <c r="D4" s="3" t="s">
        <v>61</v>
      </c>
      <c r="E4" s="3" t="s">
        <v>62</v>
      </c>
      <c r="F4" s="3" t="s">
        <v>63</v>
      </c>
      <c r="G4" s="3" t="s">
        <v>64</v>
      </c>
      <c r="H4" s="3" t="s">
        <v>65</v>
      </c>
      <c r="I4" s="3" t="s">
        <v>66</v>
      </c>
      <c r="J4" s="3" t="s">
        <v>67</v>
      </c>
      <c r="K4" s="3" t="s">
        <v>68</v>
      </c>
    </row>
    <row r="5" customFormat="false" ht="79.85" hidden="false" customHeight="false" outlineLevel="0" collapsed="false">
      <c r="A5" s="4" t="s">
        <v>1337</v>
      </c>
      <c r="B5" s="11" t="s">
        <v>1338</v>
      </c>
      <c r="C5" s="4" t="s">
        <v>81</v>
      </c>
      <c r="D5" s="12" t="n">
        <v>612.75</v>
      </c>
      <c r="E5" s="12" t="n">
        <f aca="false">D5/16</f>
        <v>38.296875</v>
      </c>
      <c r="F5" s="4" t="s">
        <v>1339</v>
      </c>
      <c r="G5" s="4"/>
      <c r="H5" s="4" t="s">
        <v>1340</v>
      </c>
      <c r="I5" s="6" t="n">
        <v>4.47</v>
      </c>
      <c r="J5" s="6" t="n">
        <f aca="false">D5*I5</f>
        <v>2738.9925</v>
      </c>
      <c r="K5" s="13" t="s">
        <v>74</v>
      </c>
    </row>
    <row r="6" customFormat="false" ht="46.25" hidden="false" customHeight="false" outlineLevel="0" collapsed="false">
      <c r="A6" s="4" t="s">
        <v>1341</v>
      </c>
      <c r="B6" s="11" t="s">
        <v>1342</v>
      </c>
      <c r="C6" s="4" t="s">
        <v>81</v>
      </c>
      <c r="D6" s="12" t="n">
        <v>612.75</v>
      </c>
      <c r="E6" s="12" t="n">
        <f aca="false">D6/16</f>
        <v>38.296875</v>
      </c>
      <c r="F6" s="4" t="s">
        <v>1343</v>
      </c>
      <c r="G6" s="4"/>
      <c r="H6" s="4" t="s">
        <v>1344</v>
      </c>
      <c r="I6" s="6" t="n">
        <v>1.01</v>
      </c>
      <c r="J6" s="6" t="n">
        <f aca="false">D6*I6</f>
        <v>618.8775</v>
      </c>
      <c r="K6" s="13" t="s">
        <v>74</v>
      </c>
    </row>
    <row r="7" customFormat="false" ht="57.45" hidden="false" customHeight="false" outlineLevel="0" collapsed="false">
      <c r="A7" s="4" t="s">
        <v>1345</v>
      </c>
      <c r="B7" s="11" t="s">
        <v>1346</v>
      </c>
      <c r="C7" s="4" t="s">
        <v>60</v>
      </c>
      <c r="D7" s="12" t="n">
        <v>16</v>
      </c>
      <c r="E7" s="12" t="n">
        <f aca="false">D7/16</f>
        <v>1</v>
      </c>
      <c r="F7" s="4" t="s">
        <v>317</v>
      </c>
      <c r="G7" s="4"/>
      <c r="H7" s="4" t="s">
        <v>1347</v>
      </c>
      <c r="I7" s="6" t="n">
        <v>51.69</v>
      </c>
      <c r="J7" s="6" t="n">
        <f aca="false">D7*I7</f>
        <v>827.04</v>
      </c>
      <c r="K7" s="13" t="s">
        <v>74</v>
      </c>
    </row>
    <row r="8" customFormat="false" ht="46.25" hidden="false" customHeight="false" outlineLevel="0" collapsed="false">
      <c r="A8" s="4" t="s">
        <v>1348</v>
      </c>
      <c r="B8" s="11" t="s">
        <v>1349</v>
      </c>
      <c r="C8" s="4" t="s">
        <v>60</v>
      </c>
      <c r="D8" s="12" t="n">
        <v>16</v>
      </c>
      <c r="E8" s="12" t="n">
        <f aca="false">D8/16</f>
        <v>1</v>
      </c>
      <c r="F8" s="4" t="s">
        <v>317</v>
      </c>
      <c r="G8" s="4"/>
      <c r="H8" s="4" t="s">
        <v>1350</v>
      </c>
      <c r="I8" s="6" t="n">
        <v>51.69</v>
      </c>
      <c r="J8" s="6" t="n">
        <f aca="false">D8*I8</f>
        <v>827.04</v>
      </c>
      <c r="K8" s="13" t="s">
        <v>74</v>
      </c>
    </row>
    <row r="9" customFormat="false" ht="57.45" hidden="false" customHeight="false" outlineLevel="0" collapsed="false">
      <c r="A9" s="4" t="s">
        <v>1351</v>
      </c>
      <c r="B9" s="11" t="s">
        <v>1352</v>
      </c>
      <c r="C9" s="4" t="s">
        <v>60</v>
      </c>
      <c r="D9" s="12" t="n">
        <v>16</v>
      </c>
      <c r="E9" s="12" t="n">
        <f aca="false">D9/16</f>
        <v>1</v>
      </c>
      <c r="F9" s="4" t="s">
        <v>317</v>
      </c>
      <c r="G9" s="4"/>
      <c r="H9" s="4" t="s">
        <v>1353</v>
      </c>
      <c r="I9" s="6" t="n">
        <v>51.66</v>
      </c>
      <c r="J9" s="6" t="n">
        <f aca="false">D9*I9</f>
        <v>826.56</v>
      </c>
      <c r="K9" s="13" t="s">
        <v>74</v>
      </c>
    </row>
    <row r="10" customFormat="false" ht="57.45" hidden="false" customHeight="false" outlineLevel="0" collapsed="false">
      <c r="A10" s="4" t="s">
        <v>1354</v>
      </c>
      <c r="B10" s="11" t="s">
        <v>1355</v>
      </c>
      <c r="C10" s="4" t="s">
        <v>60</v>
      </c>
      <c r="D10" s="12" t="n">
        <v>16</v>
      </c>
      <c r="E10" s="12" t="n">
        <f aca="false">D10/16</f>
        <v>1</v>
      </c>
      <c r="F10" s="4" t="s">
        <v>317</v>
      </c>
      <c r="G10" s="4"/>
      <c r="H10" s="4" t="s">
        <v>1356</v>
      </c>
      <c r="I10" s="6" t="n">
        <v>51.66</v>
      </c>
      <c r="J10" s="6" t="n">
        <f aca="false">D10*I10</f>
        <v>826.56</v>
      </c>
      <c r="K10" s="13" t="s">
        <v>74</v>
      </c>
    </row>
    <row r="11" customFormat="false" ht="57.45" hidden="false" customHeight="false" outlineLevel="0" collapsed="false">
      <c r="A11" s="4" t="s">
        <v>1357</v>
      </c>
      <c r="B11" s="11" t="s">
        <v>1358</v>
      </c>
      <c r="C11" s="4" t="s">
        <v>60</v>
      </c>
      <c r="D11" s="12" t="n">
        <v>16</v>
      </c>
      <c r="E11" s="12" t="n">
        <f aca="false">D11/16</f>
        <v>1</v>
      </c>
      <c r="F11" s="4" t="s">
        <v>317</v>
      </c>
      <c r="G11" s="4"/>
      <c r="H11" s="4" t="s">
        <v>1359</v>
      </c>
      <c r="I11" s="6" t="n">
        <v>51.68</v>
      </c>
      <c r="J11" s="6" t="n">
        <f aca="false">D11*I11</f>
        <v>826.88</v>
      </c>
      <c r="K11" s="13" t="s">
        <v>74</v>
      </c>
    </row>
    <row r="12" customFormat="false" ht="57.45" hidden="false" customHeight="false" outlineLevel="0" collapsed="false">
      <c r="A12" s="4" t="s">
        <v>1360</v>
      </c>
      <c r="B12" s="11" t="s">
        <v>1361</v>
      </c>
      <c r="C12" s="4" t="s">
        <v>60</v>
      </c>
      <c r="D12" s="12" t="n">
        <v>80</v>
      </c>
      <c r="E12" s="12" t="n">
        <f aca="false">D12/16</f>
        <v>5</v>
      </c>
      <c r="F12" s="4" t="s">
        <v>1362</v>
      </c>
      <c r="G12" s="4"/>
      <c r="H12" s="4" t="s">
        <v>1363</v>
      </c>
      <c r="I12" s="6" t="n">
        <v>57.76</v>
      </c>
      <c r="J12" s="6" t="n">
        <f aca="false">D12*I12</f>
        <v>4620.8</v>
      </c>
      <c r="K12" s="13" t="s">
        <v>74</v>
      </c>
    </row>
    <row r="13" s="7" customFormat="true" ht="15" hidden="false" customHeight="false" outlineLevel="0" collapsed="false">
      <c r="B13" s="7" t="s">
        <v>92</v>
      </c>
      <c r="J13" s="8" t="n">
        <f aca="false">SUM(J5:J12)</f>
        <v>12112.75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2"/>
    <col collapsed="false" customWidth="true" hidden="false" outlineLevel="0" max="5" min="4" style="0" width="14"/>
    <col collapsed="false" customWidth="true" hidden="false" outlineLevel="0" max="6" min="6" style="0" width="16"/>
    <col collapsed="false" customWidth="true" hidden="false" outlineLevel="0" max="7" min="7" style="0" width="40"/>
  </cols>
  <sheetData>
    <row r="1" customFormat="false" ht="17.35" hidden="false" customHeight="false" outlineLevel="0" collapsed="false">
      <c r="A1" s="1" t="s">
        <v>1364</v>
      </c>
    </row>
    <row r="2" customFormat="false" ht="15" hidden="false" customHeight="false" outlineLevel="0" collapsed="false">
      <c r="A2" s="2" t="s">
        <v>1365</v>
      </c>
    </row>
    <row r="4" customFormat="false" ht="30" hidden="false" customHeight="true" outlineLevel="0" collapsed="false">
      <c r="A4" s="3" t="s">
        <v>1366</v>
      </c>
      <c r="B4" s="3" t="s">
        <v>1367</v>
      </c>
      <c r="C4" s="3" t="s">
        <v>1368</v>
      </c>
      <c r="D4" s="3" t="s">
        <v>1369</v>
      </c>
      <c r="E4" s="3" t="s">
        <v>1370</v>
      </c>
      <c r="F4" s="3" t="s">
        <v>1371</v>
      </c>
      <c r="G4" s="3" t="s">
        <v>1372</v>
      </c>
    </row>
    <row r="5" customFormat="false" ht="15" hidden="false" customHeight="false" outlineLevel="0" collapsed="false">
      <c r="A5" s="4" t="s">
        <v>1373</v>
      </c>
      <c r="B5" s="15" t="n">
        <v>22.96</v>
      </c>
      <c r="C5" s="15" t="n">
        <v>253.52</v>
      </c>
      <c r="D5" s="15" t="n">
        <v>5820.8</v>
      </c>
      <c r="E5" s="15" t="n">
        <f aca="false">C5*16</f>
        <v>4056.32</v>
      </c>
      <c r="F5" s="15" t="n">
        <f aca="false">D5*16</f>
        <v>93132.8</v>
      </c>
      <c r="G5" s="4" t="s">
        <v>1374</v>
      </c>
    </row>
    <row r="6" customFormat="false" ht="15" hidden="false" customHeight="false" outlineLevel="0" collapsed="false">
      <c r="A6" s="4" t="s">
        <v>1375</v>
      </c>
      <c r="B6" s="15" t="n">
        <v>26.86</v>
      </c>
      <c r="C6" s="15" t="n">
        <v>33.84</v>
      </c>
      <c r="D6" s="15" t="n">
        <v>908.9</v>
      </c>
      <c r="E6" s="15" t="n">
        <f aca="false">C6*16</f>
        <v>541.44</v>
      </c>
      <c r="F6" s="15" t="n">
        <f aca="false">D6*16</f>
        <v>14542.4</v>
      </c>
      <c r="G6" s="4" t="s">
        <v>1376</v>
      </c>
    </row>
    <row r="7" customFormat="false" ht="15" hidden="false" customHeight="false" outlineLevel="0" collapsed="false">
      <c r="A7" s="4" t="s">
        <v>1377</v>
      </c>
      <c r="B7" s="15" t="n">
        <v>16.2</v>
      </c>
      <c r="C7" s="15" t="n">
        <v>100.7</v>
      </c>
      <c r="D7" s="15" t="n">
        <v>1631.3</v>
      </c>
      <c r="E7" s="15" t="n">
        <f aca="false">C7*16</f>
        <v>1611.2</v>
      </c>
      <c r="F7" s="15" t="n">
        <f aca="false">D7*16</f>
        <v>26100.8</v>
      </c>
      <c r="G7" s="4" t="s">
        <v>1378</v>
      </c>
    </row>
    <row r="8" customFormat="false" ht="15" hidden="false" customHeight="false" outlineLevel="0" collapsed="false">
      <c r="A8" s="4" t="s">
        <v>1379</v>
      </c>
      <c r="B8" s="15" t="n">
        <v>16.7</v>
      </c>
      <c r="C8" s="15" t="n">
        <v>95.98</v>
      </c>
      <c r="D8" s="15" t="n">
        <v>1602.9</v>
      </c>
      <c r="E8" s="15" t="n">
        <f aca="false">C8*16</f>
        <v>1535.68</v>
      </c>
      <c r="F8" s="15" t="n">
        <f aca="false">D8*16</f>
        <v>25646.4</v>
      </c>
      <c r="G8" s="4" t="s">
        <v>1380</v>
      </c>
    </row>
    <row r="9" customFormat="false" ht="15" hidden="false" customHeight="false" outlineLevel="0" collapsed="false">
      <c r="A9" s="4" t="s">
        <v>1381</v>
      </c>
      <c r="B9" s="15" t="n">
        <v>4.42</v>
      </c>
      <c r="C9" s="15" t="n">
        <v>290.94</v>
      </c>
      <c r="D9" s="15" t="n">
        <v>1286</v>
      </c>
      <c r="E9" s="15" t="n">
        <f aca="false">C9*16</f>
        <v>4655.04</v>
      </c>
      <c r="F9" s="15" t="n">
        <f aca="false">D9*16</f>
        <v>20576</v>
      </c>
      <c r="G9" s="4" t="s">
        <v>1382</v>
      </c>
    </row>
    <row r="10" customFormat="false" ht="15" hidden="false" customHeight="false" outlineLevel="0" collapsed="false">
      <c r="A10" s="4" t="s">
        <v>1383</v>
      </c>
      <c r="B10" s="15"/>
      <c r="C10" s="15"/>
      <c r="D10" s="15" t="n">
        <v>350.9</v>
      </c>
      <c r="E10" s="15"/>
      <c r="F10" s="15" t="n">
        <f aca="false">D10*16</f>
        <v>5614.4</v>
      </c>
      <c r="G10" s="4" t="s">
        <v>1384</v>
      </c>
    </row>
    <row r="11" customFormat="false" ht="15" hidden="false" customHeight="false" outlineLevel="0" collapsed="false">
      <c r="A11" s="4" t="s">
        <v>1385</v>
      </c>
      <c r="B11" s="15"/>
      <c r="C11" s="15"/>
      <c r="D11" s="15" t="n">
        <v>450</v>
      </c>
      <c r="E11" s="15"/>
      <c r="F11" s="15" t="n">
        <f aca="false">D11*16</f>
        <v>7200</v>
      </c>
      <c r="G11" s="4" t="s">
        <v>1386</v>
      </c>
    </row>
    <row r="12" customFormat="false" ht="15" hidden="false" customHeight="false" outlineLevel="0" collapsed="false">
      <c r="A12" s="4" t="s">
        <v>1387</v>
      </c>
      <c r="B12" s="15"/>
      <c r="C12" s="15"/>
      <c r="D12" s="15" t="n">
        <v>838.3</v>
      </c>
      <c r="E12" s="15"/>
      <c r="F12" s="15" t="n">
        <f aca="false">D12*16</f>
        <v>13412.8</v>
      </c>
      <c r="G12" s="4" t="s">
        <v>1388</v>
      </c>
    </row>
    <row r="13" s="7" customFormat="true" ht="15" hidden="false" customHeight="false" outlineLevel="0" collapsed="false">
      <c r="A13" s="7" t="s">
        <v>1389</v>
      </c>
      <c r="D13" s="16" t="n">
        <f aca="false">SUM(D5:D12)</f>
        <v>12889.1</v>
      </c>
      <c r="F13" s="16" t="n">
        <f aca="false">SUM(F5:F12)</f>
        <v>206225.6</v>
      </c>
    </row>
    <row r="15" customFormat="false" ht="30" hidden="false" customHeight="true" outlineLevel="0" collapsed="false">
      <c r="A15" s="17" t="s">
        <v>1390</v>
      </c>
      <c r="B15" s="17"/>
      <c r="C15" s="17"/>
      <c r="D15" s="17"/>
      <c r="E15" s="17"/>
      <c r="F15" s="17"/>
      <c r="G15" s="17"/>
    </row>
  </sheetData>
  <mergeCells count="1">
    <mergeCell ref="A15:G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6"/>
    <col collapsed="false" customWidth="true" hidden="false" outlineLevel="0" max="4" min="3" style="0" width="14"/>
    <col collapsed="false" customWidth="true" hidden="false" outlineLevel="0" max="5" min="5" style="0" width="50"/>
  </cols>
  <sheetData>
    <row r="1" customFormat="false" ht="17.35" hidden="false" customHeight="false" outlineLevel="0" collapsed="false">
      <c r="A1" s="1" t="s">
        <v>1391</v>
      </c>
    </row>
    <row r="2" customFormat="false" ht="15" hidden="false" customHeight="false" outlineLevel="0" collapsed="false">
      <c r="A2" s="2" t="s">
        <v>1392</v>
      </c>
    </row>
    <row r="4" customFormat="false" ht="30" hidden="false" customHeight="true" outlineLevel="0" collapsed="false">
      <c r="A4" s="3" t="s">
        <v>1393</v>
      </c>
      <c r="B4" s="3" t="s">
        <v>60</v>
      </c>
      <c r="C4" s="3" t="s">
        <v>1394</v>
      </c>
      <c r="D4" s="3" t="s">
        <v>1395</v>
      </c>
      <c r="E4" s="3" t="s">
        <v>1396</v>
      </c>
    </row>
    <row r="5" customFormat="false" ht="15" hidden="false" customHeight="false" outlineLevel="0" collapsed="false">
      <c r="A5" s="4" t="s">
        <v>1397</v>
      </c>
      <c r="B5" s="4" t="s">
        <v>71</v>
      </c>
      <c r="C5" s="12" t="n">
        <v>79.38</v>
      </c>
      <c r="D5" s="12" t="n">
        <f aca="false">C5*16</f>
        <v>1270.08</v>
      </c>
      <c r="E5" s="4" t="s">
        <v>1398</v>
      </c>
    </row>
    <row r="6" customFormat="false" ht="15" hidden="false" customHeight="false" outlineLevel="0" collapsed="false">
      <c r="A6" s="4" t="s">
        <v>1399</v>
      </c>
      <c r="B6" s="4" t="s">
        <v>71</v>
      </c>
      <c r="C6" s="12" t="n">
        <v>108.79</v>
      </c>
      <c r="D6" s="12" t="n">
        <f aca="false">C6*16</f>
        <v>1740.64</v>
      </c>
      <c r="E6" s="4" t="s">
        <v>1400</v>
      </c>
    </row>
    <row r="7" customFormat="false" ht="15" hidden="false" customHeight="false" outlineLevel="0" collapsed="false">
      <c r="A7" s="4" t="s">
        <v>1401</v>
      </c>
      <c r="B7" s="4" t="s">
        <v>71</v>
      </c>
      <c r="C7" s="12" t="n">
        <v>-22</v>
      </c>
      <c r="D7" s="12" t="n">
        <f aca="false">C7*16</f>
        <v>-352</v>
      </c>
      <c r="E7" s="4" t="s">
        <v>1402</v>
      </c>
    </row>
    <row r="8" s="7" customFormat="true" ht="15" hidden="false" customHeight="false" outlineLevel="0" collapsed="false">
      <c r="A8" s="11" t="s">
        <v>1403</v>
      </c>
      <c r="B8" s="11" t="s">
        <v>71</v>
      </c>
      <c r="C8" s="18" t="n">
        <v>166.17</v>
      </c>
      <c r="D8" s="18" t="n">
        <f aca="false">C8*16</f>
        <v>2658.72</v>
      </c>
      <c r="E8" s="11" t="s">
        <v>1404</v>
      </c>
    </row>
    <row r="9" customFormat="false" ht="15" hidden="false" customHeight="false" outlineLevel="0" collapsed="false">
      <c r="A9" s="4" t="s">
        <v>1405</v>
      </c>
      <c r="B9" s="4" t="s">
        <v>71</v>
      </c>
      <c r="C9" s="12" t="n">
        <v>68.3</v>
      </c>
      <c r="D9" s="12" t="n">
        <f aca="false">C9*16</f>
        <v>1092.8</v>
      </c>
      <c r="E9" s="4" t="s">
        <v>1406</v>
      </c>
    </row>
    <row r="10" customFormat="false" ht="15" hidden="false" customHeight="false" outlineLevel="0" collapsed="false">
      <c r="A10" s="4" t="s">
        <v>1407</v>
      </c>
      <c r="B10" s="4" t="s">
        <v>71</v>
      </c>
      <c r="C10" s="12" t="n">
        <v>75.4</v>
      </c>
      <c r="D10" s="12" t="n">
        <f aca="false">C10*16</f>
        <v>1206.4</v>
      </c>
      <c r="E10" s="4" t="s">
        <v>1408</v>
      </c>
    </row>
    <row r="11" customFormat="false" ht="15" hidden="false" customHeight="false" outlineLevel="0" collapsed="false">
      <c r="A11" s="4" t="s">
        <v>1409</v>
      </c>
      <c r="B11" s="4" t="s">
        <v>71</v>
      </c>
      <c r="C11" s="12" t="n">
        <v>8.98</v>
      </c>
      <c r="D11" s="12" t="n">
        <f aca="false">C11*16</f>
        <v>143.68</v>
      </c>
      <c r="E11" s="4" t="s">
        <v>1410</v>
      </c>
    </row>
    <row r="12" customFormat="false" ht="15" hidden="false" customHeight="false" outlineLevel="0" collapsed="false">
      <c r="A12" s="4" t="s">
        <v>1411</v>
      </c>
      <c r="B12" s="4" t="s">
        <v>71</v>
      </c>
      <c r="C12" s="12" t="n">
        <v>10.77</v>
      </c>
      <c r="D12" s="12" t="n">
        <f aca="false">C12*16</f>
        <v>172.32</v>
      </c>
      <c r="E12" s="4" t="s">
        <v>1412</v>
      </c>
    </row>
    <row r="13" customFormat="false" ht="15" hidden="false" customHeight="false" outlineLevel="0" collapsed="false">
      <c r="A13" s="4" t="s">
        <v>1413</v>
      </c>
      <c r="B13" s="4" t="s">
        <v>71</v>
      </c>
      <c r="C13" s="12" t="n">
        <v>74.58</v>
      </c>
      <c r="D13" s="12" t="n">
        <f aca="false">C13*16</f>
        <v>1193.28</v>
      </c>
      <c r="E13" s="4" t="s">
        <v>1414</v>
      </c>
    </row>
    <row r="14" customFormat="false" ht="15" hidden="false" customHeight="false" outlineLevel="0" collapsed="false">
      <c r="A14" s="4" t="s">
        <v>1415</v>
      </c>
      <c r="B14" s="4" t="s">
        <v>128</v>
      </c>
      <c r="C14" s="12" t="n">
        <v>73.04</v>
      </c>
      <c r="D14" s="12" t="n">
        <f aca="false">C14*16</f>
        <v>1168.64</v>
      </c>
      <c r="E14" s="4" t="s">
        <v>1416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2026-10-22T10:58:19Z</dcterms:created>
  <dc:creator>RG21 Capital</dc:creator>
  <dc:description/>
  <dc:language>en-US</dc:language>
  <cp:lastModifiedBy>Unknown</cp:lastModifiedBy>
  <dcterms:modified xsi:type="dcterms:W3CDTF">2026-10-22T10:58:19Z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