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upuestos" state="visible" r:id="rId5"/>
    <sheet sheetId="3" name="Proyecto por alcance" state="visible" r:id="rId6"/>
    <sheet sheetId="4" name="Sistema modular" state="visible" r:id="rId7"/>
  </sheets>
  <calcPr calcId="171027" fullCalcOnLoad="1"/>
</workbook>
</file>

<file path=xl/sharedStrings.xml><?xml version="1.0" encoding="utf-8"?>
<sst xmlns="http://schemas.openxmlformats.org/spreadsheetml/2006/main" count="1752" uniqueCount="810">
  <si>
    <t>NÉVOLA: PRESUPUESTO TÉCNICO MODULAR SOBRE EL PROYECTO DE EJECUCIÓN</t>
  </si>
  <si>
    <t>Base: BC3 «NEVOLA EJECUCIÓN_DEF julio 2026» (PEM 2.915.671,71 €, 16 viviendas). Importes por vivienda pareada (148,30 m²) y sin IVA.</t>
  </si>
  <si>
    <t>Concepto</t>
  </si>
  <si>
    <t>Por vivienda</t>
  </si>
  <si>
    <t>€/m² construido</t>
  </si>
  <si>
    <t>Serie de 16</t>
  </si>
  <si>
    <t>PROYECTO TRADICIONAL (alcance vivienda: sin urbanización, cimentación, piscina ni acometidas)</t>
  </si>
  <si>
    <t xml:space="preserve">  PEM de lo que sustituye el sistema modular (estructura, cubierta, fachada, aislamientos)</t>
  </si>
  <si>
    <t xml:space="preserve">  PEM de lo que se ejecuta igual (instalaciones, carpinterías, acabados)</t>
  </si>
  <si>
    <t xml:space="preserve">  PEM alcance vivienda</t>
  </si>
  <si>
    <t xml:space="preserve">  Precio de contrata tradicional (PEM + GG + BI)</t>
  </si>
  <si>
    <t/>
  </si>
  <si>
    <t>RG21 MODULAR (coste real)</t>
  </si>
  <si>
    <t xml:space="preserve">  Sistema modular (sustituye)</t>
  </si>
  <si>
    <t xml:space="preserve">  Partidas iguales a precio de proyecto, con ahorro de fábrica</t>
  </si>
  <si>
    <t xml:space="preserve">  Específicos modulares: transporte, grúa, montaje, ingeniería, fábrica</t>
  </si>
  <si>
    <t xml:space="preserve">  COSTE RG21</t>
  </si>
  <si>
    <t xml:space="preserve">  Margen RG21 (GG + beneficio)</t>
  </si>
  <si>
    <t xml:space="preserve">  PRECIO RG21</t>
  </si>
  <si>
    <t>Diferencia del precio RG21 con la contrata tradicional</t>
  </si>
  <si>
    <t>Diferencia en %</t>
  </si>
  <si>
    <t>Precio de la oferta comercial de septiembre (pareada, serie)</t>
  </si>
  <si>
    <t>Bajada sobre la oferta comercial</t>
  </si>
  <si>
    <t>ESCENARIOS: PRECIO RG21 POR VIVIENDA</t>
  </si>
  <si>
    <t>Cambia el acero por m² (filas) y el ahorro de fábrica en partidas iguales (columnas). Resto de supuestos como en la hoja Supuestos.</t>
  </si>
  <si>
    <t>Acero (kg/m²)</t>
  </si>
  <si>
    <t>Ahorro 0 %</t>
  </si>
  <si>
    <t>Ahorro 8 %</t>
  </si>
  <si>
    <t>Ahorro 12 %</t>
  </si>
  <si>
    <t>90 kg/m²</t>
  </si>
  <si>
    <t>75 kg/m²</t>
  </si>
  <si>
    <t>65 kg/m²</t>
  </si>
  <si>
    <t>55 kg/m²</t>
  </si>
  <si>
    <t>45 kg/m²</t>
  </si>
  <si>
    <t>Referencia: contrata tradicional del mismo alcance</t>
  </si>
  <si>
    <t>LECTURA</t>
  </si>
  <si>
    <t>1. La oferta comercial de septiembre salía cara porque sumaba márgenes: precios de venta de DWHAI a Tini de 2024, más IPC, más un 12 %. Aquí todo va a coste real y el margen se aplica una vez.</t>
  </si>
  <si>
    <t>2. Las partidas que se hacen igual (carpinterías, instalaciones, acabados, sanitarios) se valoran con las mediciones y los precios del propio proyecto. Son precios de mercado de 2026 y el promotor los reconoce.</t>
  </si>
  <si>
    <t>3. El acero va a 90 kg/m², el dato real de Mahón (dos plantas, 2024). Cada 10 kg/m² que el cálculo consiga bajar son unos 3.900 € menos por vivienda.</t>
  </si>
  <si>
    <t>4. Queda fuera lo que el proyecto pone en urbanización, cimentación, movimiento de tierras, saneamiento enterrado, acometidas, piscina, seguridad y salud, control de calidad y residuos: 51.368 €/vivienda de PEM que el promotor sigue teniendo.</t>
  </si>
  <si>
    <t>5. El modular ahorra al promotor la solera ventilada Cáviti, las ayudas de albañilería y buena parte del plazo de obra (costes financieros, seguridad y salud, gastos de obra). No está valorado aquí.</t>
  </si>
  <si>
    <t>SUPUESTOS DEL PRESUPUESTO TÉCNICO MODULAR (vivienda pareada tipo)</t>
  </si>
  <si>
    <t>Amarillo = dato que se puede cambiar. Costes reales de fábrica, no precios de venta. El margen se aplica una sola vez, en el Resumen.</t>
  </si>
  <si>
    <t>Valor</t>
  </si>
  <si>
    <t>Origen</t>
  </si>
  <si>
    <t>Actualización de costes 2024→2026</t>
  </si>
  <si>
    <t>Costes de construcción +5,46 % en 2025 (ACR) y +3,5 % interanual en abril de 2026 (Banco de España)</t>
  </si>
  <si>
    <t>Acero estructural por m² construido (kg/m²)</t>
  </si>
  <si>
    <t>Dato real: Mahón (proyecto 182, dos plantas) 13.516 kg / 151,2 m² = 89 kg/m². Bajar exige rediseñar el módulo con cálculo</t>
  </si>
  <si>
    <t>Coste del acero fabricado (€/kg): material, corte, soldadura, imprimación y pintura</t>
  </si>
  <si>
    <t>Material 0,80 €/kg en 2024 (Mahón) + soldadura propia. En 2024 el kg soldado costó 3,0–4,9 € subcontratado</t>
  </si>
  <si>
    <t>Superficie construida de la vivienda pareada (m²)</t>
  </si>
  <si>
    <t>Proyecto de ejecución, cuadro de superficies</t>
  </si>
  <si>
    <t>Envolvente vertical opaca, fachadas + medianera (m²)</t>
  </si>
  <si>
    <t>Proyecto: XPS 100 mm en fachadas 2.664,64 m² / 16 viviendas</t>
  </si>
  <si>
    <t>Fachada con acabado exterior (m²)</t>
  </si>
  <si>
    <t>Envolvente opaca sin medianera, con los petos</t>
  </si>
  <si>
    <t>Medianera de la pareada (m²)</t>
  </si>
  <si>
    <t>Proyecto, justificación del DB HE1</t>
  </si>
  <si>
    <t>Cubierta (m²)</t>
  </si>
  <si>
    <t>Proyecto: cubierta no transitable 1.195,45 m² / 16</t>
  </si>
  <si>
    <t>Suelo de planta baja (m²)</t>
  </si>
  <si>
    <t>Superficie construida de planta baja</t>
  </si>
  <si>
    <t>Forjado entre plantas (m²)</t>
  </si>
  <si>
    <t>Superficie construida de planta primera</t>
  </si>
  <si>
    <t>Mano de obra de fábrica (€/h, nómina + S.S.)</t>
  </si>
  <si>
    <t>Nóminas DWHAI sep–nov 2024</t>
  </si>
  <si>
    <t>Horas de montaje de panel por m²</t>
  </si>
  <si>
    <t>Estimado: cuadrilla de 2 personas a 4 m²/h</t>
  </si>
  <si>
    <t>Merma y cortes de panel</t>
  </si>
  <si>
    <t>Estimado</t>
  </si>
  <si>
    <t>Panel Tabihaus 8+50+8 (coste 2024, €/m²)</t>
  </si>
  <si>
    <t>Resumen Mahón 21/11/2024 (precio de material)</t>
  </si>
  <si>
    <t>Panel Tabihaus 8+65+8 (coste 2024, €/m²)</t>
  </si>
  <si>
    <t>Resumen Mahón 21/11/2024</t>
  </si>
  <si>
    <t>Panel Tabihaus 8+120+8 (coste 2024, €/m²)</t>
  </si>
  <si>
    <t>Trasdosado interior de fachada con aislamiento (€/m²)</t>
  </si>
  <si>
    <t>Precio del proyecto: Knauf W625 (partida 507)</t>
  </si>
  <si>
    <t>Suplemento de aislamiento para llegar a U = 0,20 (€/m²)</t>
  </si>
  <si>
    <t>PET 40 mm o reflexivo. El proyecto exige U = 0,20 en fachada</t>
  </si>
  <si>
    <t>Acabado exterior sobre panel (€/m²)</t>
  </si>
  <si>
    <t>ESTIMADO: placa de cemento + monocapa. El proyecto pone monocapa a 22,36 €/m² sobre ladrillo</t>
  </si>
  <si>
    <t>Sistema de cubierta sobre panel: pendientes, impermeabilización y grava (€/m²)</t>
  </si>
  <si>
    <t>Precio del proyecto (partida D08PD002), sin su XPS</t>
  </si>
  <si>
    <t>Escalera metálica con peldaños (coste €/ud)</t>
  </si>
  <si>
    <t>Estimado. El proyecto pone losa + peldañeado: 822 €/vivienda</t>
  </si>
  <si>
    <t>Juntas, sellados y remates entre módulos (€/vivienda)</t>
  </si>
  <si>
    <t>Colectores suspendidos bajo planta baja (€/vivienda)</t>
  </si>
  <si>
    <t>Partidas ISS010 del proyecto / 16: se mantienen</t>
  </si>
  <si>
    <t>Módulos por vivienda</t>
  </si>
  <si>
    <t>3 por planta, de unos 2,67 × 9,40 m</t>
  </si>
  <si>
    <t>Transporte por módulo (coste 2024, €)</t>
  </si>
  <si>
    <t>Sotopinilla 2024: 780 €/módulo</t>
  </si>
  <si>
    <t>Grúa por vivienda (€)</t>
  </si>
  <si>
    <t>Una grúa de 3.120 € por jornada montando 2 viviendas al día</t>
  </si>
  <si>
    <t>Horas de montaje en parcela por vivienda</t>
  </si>
  <si>
    <t>3 operarios × 6 días</t>
  </si>
  <si>
    <t>Dietas y desplazamiento sobre el montaje</t>
  </si>
  <si>
    <t>Guadalix está a &lt; 100 km de la fábrica</t>
  </si>
  <si>
    <t>Ingeniería: cálculo modular y proyecto de fabricación (total)</t>
  </si>
  <si>
    <t>Estimado, una vez para toda la serie</t>
  </si>
  <si>
    <t>Viviendas de la serie</t>
  </si>
  <si>
    <t>Gastos fijos de fábrica sin mano de obra (€/mes)</t>
  </si>
  <si>
    <t>Nave 8.500 + oficina técnica 6.100 + gestión 3.830 + suministros 1.600 + seguros 400</t>
  </si>
  <si>
    <t>Viviendas fabricadas al mes con la cadena llena</t>
  </si>
  <si>
    <t>Supuesto. Con 9 operarios: ≈ 520 h/vivienda de estructura y panel</t>
  </si>
  <si>
    <t>Ahorro en fábrica sobre los precios del proyecto (partidas que se hacen igual)</t>
  </si>
  <si>
    <t>Prudente: 0 %. En fábrica es razonable un 8–12 %, porque no hay ayudas, andamios ni esperas</t>
  </si>
  <si>
    <t>Margen RG21: gastos generales + beneficio</t>
  </si>
  <si>
    <t>Sobre el coste total</t>
  </si>
  <si>
    <t>GG + BI de una contrata tradicional sobre PEM</t>
  </si>
  <si>
    <t>13 % de gastos generales + 6 % de beneficio industrial (habitual)</t>
  </si>
  <si>
    <t>PROYECTO DE EJECUCIÓN NÉVOLA (BC3 julio 2026): 309 PARTIDAS CLASIFICADAS POR ALCANCE</t>
  </si>
  <si>
    <t>FUERA = lo ejecuta el promotor u otra contrata (urbanización, cimentación, piscina, acometidas). SUSTITUYE = lo cambia el sistema modular. IGUAL = se ejecuta igual en fábrica que en obra.</t>
  </si>
  <si>
    <t>Alcance</t>
  </si>
  <si>
    <t>Capítulo</t>
  </si>
  <si>
    <t>Código</t>
  </si>
  <si>
    <t>Descripción</t>
  </si>
  <si>
    <t>Ud</t>
  </si>
  <si>
    <t>Cantidad total</t>
  </si>
  <si>
    <t>Cant./vivienda</t>
  </si>
  <si>
    <t>Precio proyecto</t>
  </si>
  <si>
    <t>Importe total</t>
  </si>
  <si>
    <t>Importe/vivienda</t>
  </si>
  <si>
    <t>SUSTITUYE</t>
  </si>
  <si>
    <t>C.03</t>
  </si>
  <si>
    <t>ISS010cc</t>
  </si>
  <si>
    <t>COLECTOR SUSPENDIDO PVC 52 mm</t>
  </si>
  <si>
    <t>m</t>
  </si>
  <si>
    <t>ISS010c</t>
  </si>
  <si>
    <t>COLECTOR SUSPENDIDO PVC 90 mm</t>
  </si>
  <si>
    <t>ISS010cb</t>
  </si>
  <si>
    <t>COLECTOR SUSPENDIDO PVC 110 mm</t>
  </si>
  <si>
    <t>C.04</t>
  </si>
  <si>
    <t>ANS030</t>
  </si>
  <si>
    <t>SOLERA VENTILADA C-50 "CÁVITI" 50+5 cm</t>
  </si>
  <si>
    <t>m²</t>
  </si>
  <si>
    <t>EHU030b</t>
  </si>
  <si>
    <t>FORJADO UNIDIRECCIONAL 30 cm SEMIVIGUETA ARMADA/BOV HORMIGÓN/PILARES Y VIGAS 0,134 m³/m²</t>
  </si>
  <si>
    <t>EHU030</t>
  </si>
  <si>
    <t>FORJADO UNIDIRECCIONAL 30 cm SEMIVIGUETA ARMADA/BOV HORMIGÓN/PILARES Y VIGAS 0,147 m³/m²</t>
  </si>
  <si>
    <t>EHE010</t>
  </si>
  <si>
    <t>LOSA DE ESCALERA h=17 cm</t>
  </si>
  <si>
    <t>C.05</t>
  </si>
  <si>
    <t>D08PD002</t>
  </si>
  <si>
    <t>CUBIERTA PLANA NO TRANSITABLE/GRAVA</t>
  </si>
  <si>
    <t>QAB010b</t>
  </si>
  <si>
    <t>CUBIERTA PLANA TRANSITABLE/SOLADO FIJO</t>
  </si>
  <si>
    <t>QAB010bb</t>
  </si>
  <si>
    <t>C.06</t>
  </si>
  <si>
    <t>504</t>
  </si>
  <si>
    <t>HOJA EXTERIOR DE FACHADA, 1/2 PIE, DE LADRILLO CERÁMICO PERFORADO TOSCO</t>
  </si>
  <si>
    <t>504b</t>
  </si>
  <si>
    <t>HOJA EXTERIOR DE FACHADA, 1 PIE, DE LADRILLO CERÁMICO PERFORADO TOSCO</t>
  </si>
  <si>
    <t>312</t>
  </si>
  <si>
    <t>DINTEL VIGUETA T-18</t>
  </si>
  <si>
    <t>505</t>
  </si>
  <si>
    <t>ENFOSCADO DE CEMENTO</t>
  </si>
  <si>
    <t>RQO020</t>
  </si>
  <si>
    <t>MORTERO MONOCAPA</t>
  </si>
  <si>
    <t>HYO020</t>
  </si>
  <si>
    <t>PELDAÑEADO ESCALERAS</t>
  </si>
  <si>
    <t>HEC030</t>
  </si>
  <si>
    <t>PREMARCOS CARPINTERÍA INTERIOR</t>
  </si>
  <si>
    <t>HEC010</t>
  </si>
  <si>
    <t>PREMARCOS CARPINTERÍA EXTERIOR</t>
  </si>
  <si>
    <t>518</t>
  </si>
  <si>
    <t>FORRADO CHIMENEAS</t>
  </si>
  <si>
    <t>519</t>
  </si>
  <si>
    <t>AYUDA ALBAÑILERÍA FONTANERÍA VIV.UNIFAMILIAR</t>
  </si>
  <si>
    <t>520</t>
  </si>
  <si>
    <t>AYUDA ALBAÑILERÍA ELECTRICIDAD VIV.UNIFAMILIAR</t>
  </si>
  <si>
    <t>521</t>
  </si>
  <si>
    <t>AYUDA ALBAÑILERÍA CALEFACCIÓN VIV.UNIFAMILIAR</t>
  </si>
  <si>
    <t>C.07</t>
  </si>
  <si>
    <t>2000b</t>
  </si>
  <si>
    <t>IMPERMEABILIZACIÓN SUMIDEROS CUBIERTA NO TRANSITABLE</t>
  </si>
  <si>
    <t>QAF030</t>
  </si>
  <si>
    <t>IMPERMEABILIZACIÓN SUMIDEROS CUBIERTA TRANSITABLE</t>
  </si>
  <si>
    <t>QAF020</t>
  </si>
  <si>
    <t>ENCUENTRO PETO/CUBIERTA NO TRANSITABLE</t>
  </si>
  <si>
    <t>QAF020b</t>
  </si>
  <si>
    <t>ENCUENTRO PETO/CUBIERTA TRANSITABLE</t>
  </si>
  <si>
    <t>D16ATA015</t>
  </si>
  <si>
    <t>AISL FRENTES FORJAD PINTURA TERMOAISLANTE TECNOL TQ-I-TERMIC</t>
  </si>
  <si>
    <t>D16ATA025</t>
  </si>
  <si>
    <t>AISL. PILARES AISLAMIENTO REFLEX. AIR BUR TERMIC S ADHESIVO</t>
  </si>
  <si>
    <t>NAD010</t>
  </si>
  <si>
    <t>AISLAMIENTO LANA MINERAL 100 mm BAJO FORJADO</t>
  </si>
  <si>
    <t>509b</t>
  </si>
  <si>
    <t>AISLAMIENTO XPS 80 mm SUELO</t>
  </si>
  <si>
    <t>510</t>
  </si>
  <si>
    <t>AISLAMIENTO XPS 100 mm FACHADAS</t>
  </si>
  <si>
    <t>509</t>
  </si>
  <si>
    <t>AISLAMIENTO XPS 100 mm CUBIERTA</t>
  </si>
  <si>
    <t>C.08</t>
  </si>
  <si>
    <t>507</t>
  </si>
  <si>
    <t>TRASDOSADO AUTOPORT. KNAUF W625 (1x15,0+48) C/AISL</t>
  </si>
  <si>
    <t>IGUAL</t>
  </si>
  <si>
    <t>ISB010</t>
  </si>
  <si>
    <t>BAJANTE RESIDUALES. PVC 110 mm</t>
  </si>
  <si>
    <t>ISB010b</t>
  </si>
  <si>
    <t>BAJANTE PLUVIALES. PVC 90 mm</t>
  </si>
  <si>
    <t>NIH010</t>
  </si>
  <si>
    <t>IMPERMEABILIZACIÓN LOCALES HÚMEDOS/HUECOS EXTERIORES</t>
  </si>
  <si>
    <t>D16DD153</t>
  </si>
  <si>
    <t>AISLAMIENTO ACÚSTICO PARA SUELO FLOTANTE PARQUET CHOVAIMPACT 3 S</t>
  </si>
  <si>
    <t>FBY015</t>
  </si>
  <si>
    <t>TABIQUE MÚLTIPLE KNAUF W112 (2x12,5+48+2x12,5) C/AISL</t>
  </si>
  <si>
    <t>FBY015b</t>
  </si>
  <si>
    <t>TABIQUE MÚLTIPLE KNAUF W112 (2x12,5+70+2x12,5) C/AISL</t>
  </si>
  <si>
    <t>D14DAC005-2</t>
  </si>
  <si>
    <t>INCREMENTO PLACA ALTA RESISTENCIA MUEBLES DE COCINA/LAVABOS/ESCALERAS</t>
  </si>
  <si>
    <t>511</t>
  </si>
  <si>
    <t>FALSO TECHO CONTINUO CUARTOS SECOS</t>
  </si>
  <si>
    <t>512</t>
  </si>
  <si>
    <t>FALSO TECHO CONTINUO CUARTOS HÚMEDOS</t>
  </si>
  <si>
    <t>RTC020b</t>
  </si>
  <si>
    <t>TABICA VERTICAL FALSO TECHO CONTINUO</t>
  </si>
  <si>
    <t>513</t>
  </si>
  <si>
    <t>FALSO TECHO CONTINUO PLACAS DE CEMENTO</t>
  </si>
  <si>
    <t>FUF010</t>
  </si>
  <si>
    <t>MAMPARA DUCHA</t>
  </si>
  <si>
    <t>C.09</t>
  </si>
  <si>
    <t>RAG012</t>
  </si>
  <si>
    <t>ALICATADO GRES PORCELÁNICO (20 /m²)</t>
  </si>
  <si>
    <t>D19RA002</t>
  </si>
  <si>
    <t>PAVIMENTO LAMINADO TERHÜRNE 8,5 mm</t>
  </si>
  <si>
    <t>FDD150</t>
  </si>
  <si>
    <t>TAPETA MADERA EN ESCALERA</t>
  </si>
  <si>
    <t>FDD140</t>
  </si>
  <si>
    <t>PASAMANOS ALUMINIO</t>
  </si>
  <si>
    <t>D19DD003D</t>
  </si>
  <si>
    <t>SOLADO DE GRES PORCELÁNICO (20 /m²) INTERIOR C2</t>
  </si>
  <si>
    <t>D19DD004</t>
  </si>
  <si>
    <t>SOLADO DE GRES PORCELÁNICO (20 /m²) EXTERIOR C3</t>
  </si>
  <si>
    <t>D19DD505</t>
  </si>
  <si>
    <t>PELDAÑO DE GRES PORCELÁNICO (20 /m²) ESCALERA INTERIOR C2</t>
  </si>
  <si>
    <t>HRC030</t>
  </si>
  <si>
    <t>VIERTEAGUAS GRES PORCELÁNICO</t>
  </si>
  <si>
    <t>HRL010</t>
  </si>
  <si>
    <t>ALBARDILLA ALUMINIO</t>
  </si>
  <si>
    <t>RCG010</t>
  </si>
  <si>
    <t>APLACADO GRES EXTERIOR EN FACHADA</t>
  </si>
  <si>
    <t>C.10</t>
  </si>
  <si>
    <t>LPM010</t>
  </si>
  <si>
    <t>PUERTA INTERIOR ABATIBLE MDF</t>
  </si>
  <si>
    <t>LAF010</t>
  </si>
  <si>
    <t>ARMARIO MODULAR PUERTAS ABATIBLES</t>
  </si>
  <si>
    <t>LAF010b</t>
  </si>
  <si>
    <t>ARMARIO MODULAR/SIN PUERTAS</t>
  </si>
  <si>
    <t>RSL020b</t>
  </si>
  <si>
    <t>RODAPIÉ MDF</t>
  </si>
  <si>
    <t>C.11</t>
  </si>
  <si>
    <t>0804</t>
  </si>
  <si>
    <t>PUERTA ENTRADA ALUMINIO/BLOCK DE SEGURIDAD</t>
  </si>
  <si>
    <t>LCV015</t>
  </si>
  <si>
    <t>PE1/FIJO (sin persiana)</t>
  </si>
  <si>
    <t>LCV015j</t>
  </si>
  <si>
    <t>PE2/PUERTA 1 HOJA + FIJO LATERAL (con persiana)</t>
  </si>
  <si>
    <t>LCV015i</t>
  </si>
  <si>
    <t>PE3/PUERTA 1 HOJA + FIJO LATERAL (con persiana)</t>
  </si>
  <si>
    <t>LCV015h</t>
  </si>
  <si>
    <t>PE4/PUERTA 1 HOJA + FIJO LATERAL (con persiana)</t>
  </si>
  <si>
    <t>LCV015b</t>
  </si>
  <si>
    <t>V1/VENTANA 1 HOJA (sin persiana)</t>
  </si>
  <si>
    <t>LCV015f</t>
  </si>
  <si>
    <t>V2/VENTANA 1 HOJA + FIJO INFERIOR (con persiana)</t>
  </si>
  <si>
    <t>LCV015g</t>
  </si>
  <si>
    <t>V3-V4/VENTANA 2 HOJAS + FIJO INFERIOR (con persiana)</t>
  </si>
  <si>
    <t>LCV015c</t>
  </si>
  <si>
    <t>V5-V6 VENTANA 1 HOJA + FIJO INFERIOR (sin persiana)</t>
  </si>
  <si>
    <t>LCV015e</t>
  </si>
  <si>
    <t>V7/VENTANA 1 HOJA (con persiana)</t>
  </si>
  <si>
    <t>LCV015d</t>
  </si>
  <si>
    <t>F1/FIJO (con persiana)</t>
  </si>
  <si>
    <t>HRL040</t>
  </si>
  <si>
    <t>RECERCADO ALUMINIO</t>
  </si>
  <si>
    <t>FDY010</t>
  </si>
  <si>
    <t>BARANDILLA MODULAR VIDRIO</t>
  </si>
  <si>
    <t>0816</t>
  </si>
  <si>
    <t>CAPERUZA METÁLICA CHIMENEA 80X60 cm</t>
  </si>
  <si>
    <t>C.12</t>
  </si>
  <si>
    <t>0901</t>
  </si>
  <si>
    <t>PINTURA PLÁSTICA MATE BLANCA VERTICAL</t>
  </si>
  <si>
    <t>0902</t>
  </si>
  <si>
    <t>PINTURA PLÁSTICA MATE BLANCA HORIZONTAL</t>
  </si>
  <si>
    <t>C.13</t>
  </si>
  <si>
    <t>1001</t>
  </si>
  <si>
    <t>TRAMITACIÓN DOCUMENTACIÓN/BOLETÍN</t>
  </si>
  <si>
    <t>E17CB04122</t>
  </si>
  <si>
    <t>CUADRO GENERAL MANDO Y PROTEC. VIVIENDA ELECTR. ELEVADA 12 C</t>
  </si>
  <si>
    <t>IEI015b</t>
  </si>
  <si>
    <t>RED ELÉCTRICA DE DISTRIBUCIÓN INTERIOR DE VIVIENDA UNIFAMILIAR 12 CIRCUITOS</t>
  </si>
  <si>
    <t>1017</t>
  </si>
  <si>
    <t>RED DE EQUIPOTENCIALIDAD EN CUARTO HÚMEDO</t>
  </si>
  <si>
    <t>1018</t>
  </si>
  <si>
    <t>TOMA DE TIERRA INDEPENDIENTE CON PICA</t>
  </si>
  <si>
    <t>1019</t>
  </si>
  <si>
    <t>RED TOMA DE TIERRA ESTRUCTURA</t>
  </si>
  <si>
    <t>diE17V040</t>
  </si>
  <si>
    <t>SOLDADURA ALUMINOTÉRMICA CABLE/CABLE</t>
  </si>
  <si>
    <t>E17MN010</t>
  </si>
  <si>
    <t>PUNTO LUZ SENCILLO UNIPOLAR BLANCO</t>
  </si>
  <si>
    <t>E17MN050</t>
  </si>
  <si>
    <t>PUNTO LUZ DOBLE INTERRUPTOR BLANCO</t>
  </si>
  <si>
    <t>E17MJB020</t>
  </si>
  <si>
    <t>PUNTO DE LUZ SENCILLO CONMUTADO BLANCO</t>
  </si>
  <si>
    <t>E17MN040</t>
  </si>
  <si>
    <t>PUNTO LUZ CRUZAMIENTO BLANCO</t>
  </si>
  <si>
    <t>IIC020</t>
  </si>
  <si>
    <t>DETECTOR DE MOVIMIENTO</t>
  </si>
  <si>
    <t>1025</t>
  </si>
  <si>
    <t>BASE DE ENCHUFE T.T. BLANCO</t>
  </si>
  <si>
    <t>1026</t>
  </si>
  <si>
    <t>BASE DOBLE ENCHUFE T.T. BLANCO</t>
  </si>
  <si>
    <t>1027</t>
  </si>
  <si>
    <t>BASE ENCHUFE 25A (II+T.T) COCINA BLANCO</t>
  </si>
  <si>
    <t>E17MN190</t>
  </si>
  <si>
    <t>BASE SEGURIDAD 20A</t>
  </si>
  <si>
    <t>1028</t>
  </si>
  <si>
    <t>BASE ENCHUFE 10-16 A ESTANCO IP44</t>
  </si>
  <si>
    <t>E19PV015</t>
  </si>
  <si>
    <t>VIDEOPORTERO DIGITAL VIVIENDA UNIFAMILIAR</t>
  </si>
  <si>
    <t>IEB010</t>
  </si>
  <si>
    <t>PUNTO RECARGA VEHÍCULOS</t>
  </si>
  <si>
    <t>E19TCT010</t>
  </si>
  <si>
    <t>EQUIPO CAPTACIÓN RTV C/ MÁSTIL h=3 m</t>
  </si>
  <si>
    <t>ILE031</t>
  </si>
  <si>
    <t>REGISTRO DE ENLACE SUPERIOR</t>
  </si>
  <si>
    <t>ILE030</t>
  </si>
  <si>
    <t>CANALIZACIÓN DE ENLACE SUPERIOR</t>
  </si>
  <si>
    <t>ILI001</t>
  </si>
  <si>
    <t>REGISTRO DE TERMINACIÓN DE RED</t>
  </si>
  <si>
    <t>ILI010</t>
  </si>
  <si>
    <t>CANALIZACIÓN INTERIOR DE USUARIO</t>
  </si>
  <si>
    <t>ILI020</t>
  </si>
  <si>
    <t>REGISTRO DE TOMA</t>
  </si>
  <si>
    <t>IAA040</t>
  </si>
  <si>
    <t>EQUIPO DE CABECERA</t>
  </si>
  <si>
    <t>IAA100</t>
  </si>
  <si>
    <t>CABLE COAXIAL RG-6, 75 Ohm CLASE ECA</t>
  </si>
  <si>
    <t>IAA100b</t>
  </si>
  <si>
    <t>CABLE COAXIAL RG-6, 75 Ohm CLASE FCA</t>
  </si>
  <si>
    <t>IAA115</t>
  </si>
  <si>
    <t>REPARTIDOR DE 5-1000 MHZ DE 8 SALIDAS</t>
  </si>
  <si>
    <t>IAA115b</t>
  </si>
  <si>
    <t>REPARTIDOR DE 5-2400 MHZ DE 5 SALIDAS</t>
  </si>
  <si>
    <t>E17MN100</t>
  </si>
  <si>
    <t>TOMA TELÉFONO BLANCO</t>
  </si>
  <si>
    <t>E17MN110</t>
  </si>
  <si>
    <t>TOMA R-TV+SAT ÚNICA BLANCO</t>
  </si>
  <si>
    <t>E17MN150</t>
  </si>
  <si>
    <t>ADAPTADOR RJ-45 AMP CATEGORÍA 6 BLANCO</t>
  </si>
  <si>
    <t>IAF070</t>
  </si>
  <si>
    <t>CABLE DE PARES DE COBRE</t>
  </si>
  <si>
    <t>IAF075</t>
  </si>
  <si>
    <t>ROSETA DE TERMINACIÓN DE RED DE DISPERSIÓN</t>
  </si>
  <si>
    <t>IAF085</t>
  </si>
  <si>
    <t>MULTIPLEXOR</t>
  </si>
  <si>
    <t>IAO020</t>
  </si>
  <si>
    <t>CABLE DE FIBRA ÓPTICA</t>
  </si>
  <si>
    <t>IAO035</t>
  </si>
  <si>
    <t>ROSETA DE FIBRA ÓPTICA</t>
  </si>
  <si>
    <t>IAO040</t>
  </si>
  <si>
    <t>TOMA DE FIBRA ÓPTICA</t>
  </si>
  <si>
    <t>C.14</t>
  </si>
  <si>
    <t>0324FO0901</t>
  </si>
  <si>
    <t>DOCUMENTACIÓN Y LEGALIZACIÓN</t>
  </si>
  <si>
    <t>0324FO0902</t>
  </si>
  <si>
    <t>PRUEBAS DE LA INSTALACIÓN</t>
  </si>
  <si>
    <t>IFI005</t>
  </si>
  <si>
    <t>TUBERIA PEXALPEX 32 mm</t>
  </si>
  <si>
    <t>IFI005c</t>
  </si>
  <si>
    <t>TUBERIA PEXALPEX 25 mm</t>
  </si>
  <si>
    <t>IFI005b</t>
  </si>
  <si>
    <t>TUBERIA PEXALPEX 20 mm</t>
  </si>
  <si>
    <t>IFW010</t>
  </si>
  <si>
    <t>VÁLVULA DE CORTE</t>
  </si>
  <si>
    <t>IFI008</t>
  </si>
  <si>
    <t>LLAVE DE PASO</t>
  </si>
  <si>
    <t>NAA010b</t>
  </si>
  <si>
    <t>COQUILLA ESPUMA ELASTOMÉRICA 23,0 mm/10 mm</t>
  </si>
  <si>
    <t>NAA010c</t>
  </si>
  <si>
    <t>COQUILLA ESPUMA ELASTOMÉRICA 19,0 mm/25 mm</t>
  </si>
  <si>
    <t>NAA010d</t>
  </si>
  <si>
    <t>COQUILLA ESPUMA ELASTOMÉRICA 23,0 mm/25,0 mm</t>
  </si>
  <si>
    <t>NAA010e</t>
  </si>
  <si>
    <t>COQUILLA ESPUMA ELASTOMÉRICA 26,0 mm/25 mm</t>
  </si>
  <si>
    <t>01113</t>
  </si>
  <si>
    <t>SIFÓN INDIVIDUAL</t>
  </si>
  <si>
    <t>01117</t>
  </si>
  <si>
    <t>BOTE SIFÓNICO PVC D=110 mm EMPOTRADO</t>
  </si>
  <si>
    <t>01114</t>
  </si>
  <si>
    <t>TUBERÍA PVC SERIE B JUNTA PEGADA D=32 mm</t>
  </si>
  <si>
    <t>01115</t>
  </si>
  <si>
    <t>TUBERÍA PVC SERIE B JUNTA PEGADA D=40 mm</t>
  </si>
  <si>
    <t>ISB041</t>
  </si>
  <si>
    <t>TUBERÍA PVC SERIE B JUNTA PEGADA D=75 mm</t>
  </si>
  <si>
    <t>01116</t>
  </si>
  <si>
    <t>TUBERÍA PVC SERIE B JUNTA PEGADA D=110 mm</t>
  </si>
  <si>
    <t>ISB044</t>
  </si>
  <si>
    <t>TERMINAL DE AIREACIÓN</t>
  </si>
  <si>
    <t>SAC020b</t>
  </si>
  <si>
    <t>INODORO DE PORCELANA SANITARIA</t>
  </si>
  <si>
    <t>SAC020</t>
  </si>
  <si>
    <t>LAVABO DE PORCELANA SANITARIA</t>
  </si>
  <si>
    <t>SAC020c</t>
  </si>
  <si>
    <t>BAÑERA DE ACERO 140X75 cm</t>
  </si>
  <si>
    <t>01120cb</t>
  </si>
  <si>
    <t>PLATO DE DUCHA DE RESINA 160x75x40</t>
  </si>
  <si>
    <t>01120c</t>
  </si>
  <si>
    <t>PLATO DE DUCHA DE RESINA 180x75x40</t>
  </si>
  <si>
    <t>C.15</t>
  </si>
  <si>
    <t>ICE110</t>
  </si>
  <si>
    <t>SUELO RADIANTE-REFRESCANTE</t>
  </si>
  <si>
    <t>SU100.015</t>
  </si>
  <si>
    <t>TIRA PERIMETRAL</t>
  </si>
  <si>
    <t>SU100.100</t>
  </si>
  <si>
    <t>HOJA DE PE</t>
  </si>
  <si>
    <t>SU100.030</t>
  </si>
  <si>
    <t>GUÍA PARA JUNTAS DE DILATACIÓN</t>
  </si>
  <si>
    <t>SU100.010</t>
  </si>
  <si>
    <t>ADITIVO ESTROLITH H.2000</t>
  </si>
  <si>
    <t>kg</t>
  </si>
  <si>
    <t>ICV01588</t>
  </si>
  <si>
    <t>BIBLOCK VAILLANT 10KW</t>
  </si>
  <si>
    <t>SU100.505</t>
  </si>
  <si>
    <t>VÁLVULA PARA DISTRIBUIDOR CONEXIÓN DIRECTA</t>
  </si>
  <si>
    <t>SU100.110</t>
  </si>
  <si>
    <t>VÁLVULA DE PRESION DIFERENCIAL TERMINAL</t>
  </si>
  <si>
    <t>004.003.001b4</t>
  </si>
  <si>
    <t>SU101.428 - DISTRIBUIDOR HKV 15-16 ESTRATO</t>
  </si>
  <si>
    <t>SU100.012</t>
  </si>
  <si>
    <t>CODOS GUÍA Ø15-16</t>
  </si>
  <si>
    <t>SU100.9205</t>
  </si>
  <si>
    <t>ARMARIO ACT 925 PARA DISTRIBUIDOR DE 7 a 11 CIRCUITOS</t>
  </si>
  <si>
    <t>SU100.740</t>
  </si>
  <si>
    <t>TERMOSTATO ELECTRÓNICO FRÍO/CALOR (3 HILOS)</t>
  </si>
  <si>
    <t>SU100.513</t>
  </si>
  <si>
    <t>ACCIONAMIENTO ELECTRICO</t>
  </si>
  <si>
    <t>SU102.009</t>
  </si>
  <si>
    <t>PLACA ELECTRÓNICA 6 ZONAS 230V</t>
  </si>
  <si>
    <t>ICS010c</t>
  </si>
  <si>
    <t>TUBERIA 25 mm</t>
  </si>
  <si>
    <t>ICN010</t>
  </si>
  <si>
    <t>LINEA FRIGORIFICA 5/8" - 3/8"</t>
  </si>
  <si>
    <t>ICS005</t>
  </si>
  <si>
    <t>PUNTO DE LLENADO</t>
  </si>
  <si>
    <t>ICS015</t>
  </si>
  <si>
    <t>PUNTO DE VACIADO</t>
  </si>
  <si>
    <t>ICS080</t>
  </si>
  <si>
    <t>PURGADOR</t>
  </si>
  <si>
    <t>ICS016gR</t>
  </si>
  <si>
    <t>BOMBA CIRCULADORA, HASTA 25kPa y 2m3/h</t>
  </si>
  <si>
    <t>01.05.01</t>
  </si>
  <si>
    <t>PUESTA EN MARCHA CLIMATIZACIÓN</t>
  </si>
  <si>
    <t>11.02.18</t>
  </si>
  <si>
    <t>LEGALIZACIÓN DE LA INSTALACIÓN TÉRMICA</t>
  </si>
  <si>
    <t>E23MGU0105</t>
  </si>
  <si>
    <t>GRUPO VMC UNIFAMILIAR AUTORREGULABLE 6 BOCAS (125+4x80 mm)</t>
  </si>
  <si>
    <t>IVK010</t>
  </si>
  <si>
    <t>CAMPANA EXTRACTORA</t>
  </si>
  <si>
    <t>E23DCG030</t>
  </si>
  <si>
    <t>TUBO HELIC. CHAPA ACERO GALVANIZADA D=125 mm</t>
  </si>
  <si>
    <t>E23DCR0101</t>
  </si>
  <si>
    <t>TUBO RECTANGULAR PVC EXTRACCIÓN/VENTILACIÓN 110x55 mm</t>
  </si>
  <si>
    <t>E23DCR0102</t>
  </si>
  <si>
    <t>TUBO RECTANGULAR PVC EXTRACCIÓN/VENTILACIÓN 220x55 mm</t>
  </si>
  <si>
    <t>E23NHR0108</t>
  </si>
  <si>
    <t>REJILLA EXTRACCIÓN 15-75 m³/h</t>
  </si>
  <si>
    <t>E23Z010</t>
  </si>
  <si>
    <t>AIREADOR PUERTA PASO MADERA PREMARCO 80-100 mm</t>
  </si>
  <si>
    <t>0324VV0601</t>
  </si>
  <si>
    <t>CERTIFICACIÓN EJECUCIÓN Y PUESTA EN MARCHA</t>
  </si>
  <si>
    <t>C.19</t>
  </si>
  <si>
    <t>XRQ010</t>
  </si>
  <si>
    <t>PRUEBA ESTANQUEIDAD CUBIERTA</t>
  </si>
  <si>
    <t>1604</t>
  </si>
  <si>
    <t>PRUEBA SERVICIO INST. FONTANERÍA VIV. UNIF.</t>
  </si>
  <si>
    <t>1606</t>
  </si>
  <si>
    <t>PRUEBA SERVICIO INST. ELÉCTRICA VIV. UNIF.</t>
  </si>
  <si>
    <t>FUERA</t>
  </si>
  <si>
    <t>C.01</t>
  </si>
  <si>
    <t>D01QG110</t>
  </si>
  <si>
    <t>DESMONTAJE Y RETIRADA CARTEL PUB. INC CARGA/TRANSP</t>
  </si>
  <si>
    <t>D36BA005</t>
  </si>
  <si>
    <t>RETIRADA ARBOL INC DESTOCONADO / TROCEADO / CARGA / TRANS</t>
  </si>
  <si>
    <t>DEF040</t>
  </si>
  <si>
    <t>DEMOLICIÓN MOCHETAS INSTALACIONES</t>
  </si>
  <si>
    <t>m³</t>
  </si>
  <si>
    <t>DMX050</t>
  </si>
  <si>
    <t>DEMOLICIÓN ACERADO</t>
  </si>
  <si>
    <t>101</t>
  </si>
  <si>
    <t>DESBROCE Y LIMPIEZA DEL TERRENO</t>
  </si>
  <si>
    <t>C.02</t>
  </si>
  <si>
    <t>ADE005</t>
  </si>
  <si>
    <t>EXCAVACIÓN SÓTANOS</t>
  </si>
  <si>
    <t>ADE010</t>
  </si>
  <si>
    <t>EXCAVACIÓN POZOS DE CIMENTACIÓN</t>
  </si>
  <si>
    <t>ADE010b</t>
  </si>
  <si>
    <t>EXCAVACIÓN ZANJAS CIMENTACIÓN</t>
  </si>
  <si>
    <t>ADE010c</t>
  </si>
  <si>
    <t>EXCAVACIÓN ZANJAS INSTALACIONES</t>
  </si>
  <si>
    <t>ADR030</t>
  </si>
  <si>
    <t>RELLENO Y COMPACTACIÓN</t>
  </si>
  <si>
    <t>UAP011</t>
  </si>
  <si>
    <t>ARQUETA DE ARRANQUE</t>
  </si>
  <si>
    <t>ASB020</t>
  </si>
  <si>
    <t>CONEXIÓN ACOMETIDA</t>
  </si>
  <si>
    <t>ASB010b</t>
  </si>
  <si>
    <t>ACOMETIDA DE SANEAMIENTO (ALBAÑAL)</t>
  </si>
  <si>
    <t>0324SH0502</t>
  </si>
  <si>
    <t>VÁLVULA ANTIRRETORNO ACOMETIDA</t>
  </si>
  <si>
    <t>203b</t>
  </si>
  <si>
    <t>ARQUETA DE PASO 50x50x60</t>
  </si>
  <si>
    <t>208</t>
  </si>
  <si>
    <t>COLECTOR ENTERRADO PVC 110 mm</t>
  </si>
  <si>
    <t>209</t>
  </si>
  <si>
    <t>COLECTOR ENTERRADO PVC 125 mm</t>
  </si>
  <si>
    <t>210</t>
  </si>
  <si>
    <t>COLECTOR ENTERRADO PVC 160 mm</t>
  </si>
  <si>
    <t>0324SH0204</t>
  </si>
  <si>
    <t>CANALETA SUMIDERO PREFABRICADA 25 cm. URBANIZACIÓN</t>
  </si>
  <si>
    <t>212</t>
  </si>
  <si>
    <t>SUMIDERO SIFÓNICO</t>
  </si>
  <si>
    <t>HRP060</t>
  </si>
  <si>
    <t>REBOSADEROS</t>
  </si>
  <si>
    <t>ISD009</t>
  </si>
  <si>
    <t>SUMIDERO SIFÓNICO DUCHA</t>
  </si>
  <si>
    <t>IVN110</t>
  </si>
  <si>
    <t>REJILLA VENTILACIÓN</t>
  </si>
  <si>
    <t>CMP010</t>
  </si>
  <si>
    <t>POZO DE CIMENTACIÓN (RELLENO A FIRME)</t>
  </si>
  <si>
    <t>301</t>
  </si>
  <si>
    <t>HORMIGÓN DE LIMPIEZA h=10 cm</t>
  </si>
  <si>
    <t>CSZ020</t>
  </si>
  <si>
    <t>ENCOFRADO CIMENTACIÓN</t>
  </si>
  <si>
    <t>CSZ030</t>
  </si>
  <si>
    <t>ZAPATA HORMIGÓN ARMADO HA-25/F/20/XC2</t>
  </si>
  <si>
    <t>CAV030</t>
  </si>
  <si>
    <t>VIGA DE ATADO HA-25/F/20/XC2</t>
  </si>
  <si>
    <t>CAV030b</t>
  </si>
  <si>
    <t>ZUNCHO HA-25/F/20/XC2/VALLADOS</t>
  </si>
  <si>
    <t>CSL010</t>
  </si>
  <si>
    <t>LOSA CIMENTACIÓN C. TÉCNICO PISCINAS</t>
  </si>
  <si>
    <t>EHL010</t>
  </si>
  <si>
    <t>LOSA h= 20 cm CASETA APEROS/C TÉCNICO PISCINAS</t>
  </si>
  <si>
    <t>CCS030b</t>
  </si>
  <si>
    <t>MURO SÓTANO HORMIGÓN ARMADO/2C 25cm HA-25/F/20/XC2</t>
  </si>
  <si>
    <t>D04PS155</t>
  </si>
  <si>
    <t>SOLERA HA-25 2#200x200x5 20 cm+ENCACHADO+PVC</t>
  </si>
  <si>
    <t>NHB020</t>
  </si>
  <si>
    <t>BARRERA ANTICAPILARIDAD</t>
  </si>
  <si>
    <t>403</t>
  </si>
  <si>
    <t>IMP.MUROS LÁM.ASFÁLT.+LAM.DREN.</t>
  </si>
  <si>
    <t>D17AA524</t>
  </si>
  <si>
    <t>AISLAM. LAMINA ANTIRADON POLYDAN RADON 180-40P ELAST</t>
  </si>
  <si>
    <t>UXC020</t>
  </si>
  <si>
    <t>HORMIGÓN PULIDO</t>
  </si>
  <si>
    <t>0604</t>
  </si>
  <si>
    <t>HORMIGÓN IMPRESO-SOLERA HA-25 #150x150x5 15 cm+ENCACHADO+PVC</t>
  </si>
  <si>
    <t>404</t>
  </si>
  <si>
    <t>PLACA DE ANCLAJE 200x200x15 mm</t>
  </si>
  <si>
    <t>2001</t>
  </si>
  <si>
    <t>ACERO LAMINADO S275JR ESTRUCTURA</t>
  </si>
  <si>
    <t>LEL010</t>
  </si>
  <si>
    <t>PUERTA APEROS</t>
  </si>
  <si>
    <t>SEE010</t>
  </si>
  <si>
    <t>ESCALERA ESCAMOTEABLE DE ACERO</t>
  </si>
  <si>
    <t>RTC021</t>
  </si>
  <si>
    <t>TRAMPILLA METÁLICA</t>
  </si>
  <si>
    <t>LFA010</t>
  </si>
  <si>
    <t>PUERTA RF CUARTO PRODUCTOS QUÍMICOS</t>
  </si>
  <si>
    <t>E17BCD010</t>
  </si>
  <si>
    <t>MÓDULO CONTADOR</t>
  </si>
  <si>
    <t>E17AB030</t>
  </si>
  <si>
    <t>ACOMETIDA MONOFÁSICA 2(1x16) mm2 Cu</t>
  </si>
  <si>
    <t>E17AB040</t>
  </si>
  <si>
    <t>ACOMETIDA MONOFÁSICA 4(1x25) mm2 Cu</t>
  </si>
  <si>
    <t>E17BB020</t>
  </si>
  <si>
    <t>LÍNEA GENERAL ALIMENTACIÓN 2(1x16) mm2 Cu</t>
  </si>
  <si>
    <t>E17BD030</t>
  </si>
  <si>
    <t>DERIVACIÓN INDIVIDUAL MONOFÁSICA 3x16 mm2</t>
  </si>
  <si>
    <t>E17BD070</t>
  </si>
  <si>
    <t>DERIVACIÓN INDIVIDUAL TRIFÁSICA 5x16 mm2</t>
  </si>
  <si>
    <t>E17BD020</t>
  </si>
  <si>
    <t>DERIVACIÓN INDIVIDUAL MONOFÁSICA 3x10 mm2</t>
  </si>
  <si>
    <t>E17CB0601925</t>
  </si>
  <si>
    <t>CUADRO GENERAL DE MANDO Y PROTECCIÓN PISCINA</t>
  </si>
  <si>
    <t>E17CB0601919</t>
  </si>
  <si>
    <t>CUADRO GENERAL DE MANDO Y PROTECCIÓN SERVICIOS COMUNES</t>
  </si>
  <si>
    <t>E17CM040</t>
  </si>
  <si>
    <t>CIRCUITO MONOFÁSICO 3x4 mm2 (AS)</t>
  </si>
  <si>
    <t>E17CM010</t>
  </si>
  <si>
    <t>CIRCUITO MONOFASICO 3x2,5 mm2</t>
  </si>
  <si>
    <t>E17CDP035</t>
  </si>
  <si>
    <t>CANALIZACIÓN TUBO RÍGIDO M32/gp7</t>
  </si>
  <si>
    <t>ILA010</t>
  </si>
  <si>
    <t>ARQUETA DE ENTRADA</t>
  </si>
  <si>
    <t>ILE021</t>
  </si>
  <si>
    <t>REGISTRO DE ENLACE INFERIOR</t>
  </si>
  <si>
    <t>ILA020</t>
  </si>
  <si>
    <t>CANALIZACIÓN EXTERNA ENTERRADA</t>
  </si>
  <si>
    <t>ILE010</t>
  </si>
  <si>
    <t>CANALIZACIÓN DE ENLACE INFERIOR</t>
  </si>
  <si>
    <t>IFA010</t>
  </si>
  <si>
    <t>ACOMETIDA DE ABASTECIMIENTO AGUA POTABLE</t>
  </si>
  <si>
    <t>IFB010</t>
  </si>
  <si>
    <t>ALIMENTACIÓN AGUA POTABLE</t>
  </si>
  <si>
    <t>IFC010</t>
  </si>
  <si>
    <t>PREINSTALACIÓN DE CONTADOR</t>
  </si>
  <si>
    <t>IFC090</t>
  </si>
  <si>
    <t>CONTADOR DE AGUA FRÍA DE LECTURA DIRECTA</t>
  </si>
  <si>
    <t>IFB020</t>
  </si>
  <si>
    <t>ARQUETA DE PASO, 64x48 cm</t>
  </si>
  <si>
    <t>0324FO0601</t>
  </si>
  <si>
    <t>PROGRAMADOR ELECTRÓNICO</t>
  </si>
  <si>
    <t>URE010b</t>
  </si>
  <si>
    <t>BOCA DE RIEGO</t>
  </si>
  <si>
    <t>0324FO0602</t>
  </si>
  <si>
    <t>ELECTROVÁLVULA</t>
  </si>
  <si>
    <t>0324FO0603</t>
  </si>
  <si>
    <t>ASPERSOR ELEVACIÓN</t>
  </si>
  <si>
    <t>0324FO0604</t>
  </si>
  <si>
    <t>TUBERÍA PEBD DIÁMETRO 32 mm</t>
  </si>
  <si>
    <t>0324FO0606</t>
  </si>
  <si>
    <t>LÍNEA ELÉCTRICA</t>
  </si>
  <si>
    <t>0324FO0608</t>
  </si>
  <si>
    <t>VÁLVULA ESFERA LATÓN 1"</t>
  </si>
  <si>
    <t>0324FO0609</t>
  </si>
  <si>
    <t>VÁLVULA ESFERA LATÓN 3/4"</t>
  </si>
  <si>
    <t>0324FO0610</t>
  </si>
  <si>
    <t>VÁLVULA REDUCTORA LATÓN 1"</t>
  </si>
  <si>
    <t>0324FO0611</t>
  </si>
  <si>
    <t>FILTRO DE MALLA 1"</t>
  </si>
  <si>
    <t>C.16</t>
  </si>
  <si>
    <t>D07AG015</t>
  </si>
  <si>
    <t>MURO BLOQUE HORMIGÓN ARMADO 40x20x20</t>
  </si>
  <si>
    <t>01302</t>
  </si>
  <si>
    <t>ENCACHADO</t>
  </si>
  <si>
    <t>01303</t>
  </si>
  <si>
    <t>HORMIGÓN GUNITADO HORIZONTAL</t>
  </si>
  <si>
    <t>01304</t>
  </si>
  <si>
    <t>HORMIGÓN GUNITADO VERTICAL</t>
  </si>
  <si>
    <t>01305</t>
  </si>
  <si>
    <t>RELLENO BASE ESCALERA RECRECIDOS</t>
  </si>
  <si>
    <t>01306</t>
  </si>
  <si>
    <t>PELDAÑEADO DE ESCALERA</t>
  </si>
  <si>
    <t>UPN010</t>
  </si>
  <si>
    <t>IMPERMEABILIZACIÓN PISCINA</t>
  </si>
  <si>
    <t>D37RA501</t>
  </si>
  <si>
    <t>MÉNSULA HORMIGÓN BORDE PISCINA</t>
  </si>
  <si>
    <t>D37RB230</t>
  </si>
  <si>
    <t>CABLEADO COBRE 1x35 mm²</t>
  </si>
  <si>
    <t>UPD010</t>
  </si>
  <si>
    <t>EQUIPO COMPLETO DEPURACIÓN PISCINA 12x6x1,5 m (volumen 108 m³).</t>
  </si>
  <si>
    <t>UPD010b</t>
  </si>
  <si>
    <t>EQUIPO COMPLETO DEPURACIÓN PISCINA 8x4x1,5 m (volumen 48 m³).</t>
  </si>
  <si>
    <t>UPC010</t>
  </si>
  <si>
    <t>EQUIPO AUTOMÁTICO DE CLORACIÓN SALINA</t>
  </si>
  <si>
    <t>D37RZ005</t>
  </si>
  <si>
    <t>ESCALERA 4 PELDAÑOS ACERO INOXIDABLE</t>
  </si>
  <si>
    <t>D37RZ905</t>
  </si>
  <si>
    <t>BOTIQUÍN</t>
  </si>
  <si>
    <t>D37RZ802</t>
  </si>
  <si>
    <t>ARO SALVAVIDAS</t>
  </si>
  <si>
    <t>D37RZ301</t>
  </si>
  <si>
    <t>FOCO ESTANCO PARA PISCINA</t>
  </si>
  <si>
    <t>D37RZ201</t>
  </si>
  <si>
    <t>PEDILUVIO 1,50x2,00 I/2 DUCHA PISCINA ADULTOS</t>
  </si>
  <si>
    <t>UPE040</t>
  </si>
  <si>
    <t>DUCHA PISCINA CHAPOTEO</t>
  </si>
  <si>
    <t>C.17</t>
  </si>
  <si>
    <t>UXH010</t>
  </si>
  <si>
    <t>SOLADO LOSETA HORMIGÓN ACERA</t>
  </si>
  <si>
    <t>UXB020</t>
  </si>
  <si>
    <t>BORDILLO HORMIGÓN 20x14 cm ACERA</t>
  </si>
  <si>
    <t>FEA020c</t>
  </si>
  <si>
    <t>MURO BLOQUE HORMIGÓN 40X20X20 PARA REVESTIR</t>
  </si>
  <si>
    <t>FEA020</t>
  </si>
  <si>
    <t>MURO BLOQUE HORMIGÓN 40x20x20 2CV</t>
  </si>
  <si>
    <t>HRF040</t>
  </si>
  <si>
    <t>ALBARDILLA PREFABRICADA HORMIGÓN</t>
  </si>
  <si>
    <t>D02TA301-1</t>
  </si>
  <si>
    <t>RELLENO TIERRAS C/APORTE PARA JARDIN+SEMBRADO CESPED</t>
  </si>
  <si>
    <t>UMB010</t>
  </si>
  <si>
    <t>BANCO CON RESPALDO</t>
  </si>
  <si>
    <t>UME010</t>
  </si>
  <si>
    <t>PAPELERA</t>
  </si>
  <si>
    <t>UII010</t>
  </si>
  <si>
    <t>BALIZA CIRCULAR</t>
  </si>
  <si>
    <t>UII020</t>
  </si>
  <si>
    <t>FAROLA</t>
  </si>
  <si>
    <t>E18IRL13GLF68</t>
  </si>
  <si>
    <t>LUMINARIA TECHO 2300</t>
  </si>
  <si>
    <t>E18GS010</t>
  </si>
  <si>
    <t>BLOQUE AUTÓNOMO EMERGENCIA LED 70 lm</t>
  </si>
  <si>
    <t>D39SA701</t>
  </si>
  <si>
    <t>PARQUE JUEGOS INFANTIL</t>
  </si>
  <si>
    <t>ud</t>
  </si>
  <si>
    <t>UJP010</t>
  </si>
  <si>
    <t>MORERA (MORUS ALBA)</t>
  </si>
  <si>
    <t>UJP010b</t>
  </si>
  <si>
    <t>PLÁTANO DE SOMBRA (PLATANUS X HISPANICA)</t>
  </si>
  <si>
    <t>UJP010bb</t>
  </si>
  <si>
    <t>ÁRBOL DEL AMOR (CERCIS SILIQUASTRUM)</t>
  </si>
  <si>
    <t>UJP010bbb</t>
  </si>
  <si>
    <t>LAVANDA (LAVÁNDULA ANGUSTIFOLIA)</t>
  </si>
  <si>
    <t>UVP010b</t>
  </si>
  <si>
    <t>PUERTA PEATONAL METÁLICA EN VALLADOS/VIVIENDAS</t>
  </si>
  <si>
    <t>UVP010bb</t>
  </si>
  <si>
    <t>PUERTA PEATONAL METÁLICA EN VALLADOS/ZONA COMÚN</t>
  </si>
  <si>
    <t>UVP010</t>
  </si>
  <si>
    <t>PUERTA VEHÍCULOS METÁLICA EN VALLADOS/VIVIENDAS</t>
  </si>
  <si>
    <t>UVV020</t>
  </si>
  <si>
    <t>VERJA METÁLICA EN VALLADOS</t>
  </si>
  <si>
    <t>UVT030b</t>
  </si>
  <si>
    <t>VALLA METÁLICA TIPO HÉRCULES h=1,00 m</t>
  </si>
  <si>
    <t>UVT030bb</t>
  </si>
  <si>
    <t>PUERTA METÁLICA TIPO HÉRCULES h=1,00 m</t>
  </si>
  <si>
    <t>UVT030</t>
  </si>
  <si>
    <t>VALLA METÁLICA TIPO HÉRCULES h=2,00 m</t>
  </si>
  <si>
    <t>UVT030bbb</t>
  </si>
  <si>
    <t>PUERTA METÁLICA TIPO HÉRCULES h=2,00 m</t>
  </si>
  <si>
    <t>C.18</t>
  </si>
  <si>
    <t>1401</t>
  </si>
  <si>
    <t>SEGURIDAD Y SALUD</t>
  </si>
  <si>
    <t>XEB010</t>
  </si>
  <si>
    <t>ENSAYO MUESTRA DE BARRAS DE ACERO CORRUGADO DE UN MISMO LOTE</t>
  </si>
  <si>
    <t>XEB020</t>
  </si>
  <si>
    <t>ENSAYO MUESTRA DE BARRAS DE ACERO CORRUGADO DE CADA DIÁMETRO</t>
  </si>
  <si>
    <t>XEM020</t>
  </si>
  <si>
    <t>ENSAYO MUESTRA DE MALLAS ELECTROSOLDADAS DE CADA DIÁMETRO</t>
  </si>
  <si>
    <t>D50EB015</t>
  </si>
  <si>
    <t>TOMA MUESTRA HORMIGÓN, 5 PROBETAS</t>
  </si>
  <si>
    <t>D50EB090</t>
  </si>
  <si>
    <t>INSPECCIÓN HORMIGÓN ESCLERÓMETRO</t>
  </si>
  <si>
    <t>D50EB092</t>
  </si>
  <si>
    <t>INSPECCIÓN HORMIGÓN ULTRASONIDO</t>
  </si>
  <si>
    <t>D50EB820</t>
  </si>
  <si>
    <t>ENSAYO QUÍMICO CEMENTO</t>
  </si>
  <si>
    <t>D50EC660</t>
  </si>
  <si>
    <t>ENSAYO DE ESTANQUEIDAD SANEAMIENTO</t>
  </si>
  <si>
    <t>D50ES620</t>
  </si>
  <si>
    <t>ENSAYO TUBERÍAS CALEFACCIÓN/CLIMATIZACIÓN</t>
  </si>
  <si>
    <t>1507b</t>
  </si>
  <si>
    <t>PROTOCOLO PUESTA A TIERRA PISCINAS</t>
  </si>
  <si>
    <t>1507</t>
  </si>
  <si>
    <t>CONTROL TÉCNICO OCT</t>
  </si>
  <si>
    <t>C.20</t>
  </si>
  <si>
    <t>GTA020</t>
  </si>
  <si>
    <t>CARGA Y TRANSPORTE MOVIMIENTO DE TIERRAS</t>
  </si>
  <si>
    <t>GTB020</t>
  </si>
  <si>
    <t>CANON VERTIDO TIERRAS EXCAVACIÓN</t>
  </si>
  <si>
    <t>GRA010</t>
  </si>
  <si>
    <t>TRANSPORTE DE RESIDUOS INERTES (HORMIGONES, MORTEROS Y PREFABRICADOS)</t>
  </si>
  <si>
    <t>GRA010b</t>
  </si>
  <si>
    <t>TRANSPORTE DE RESIDUOS INERTES (MADERA)</t>
  </si>
  <si>
    <t>GRA010c</t>
  </si>
  <si>
    <t>TRANSPORTE DE RESIDUOS INERTES (PLÁSTICOS)</t>
  </si>
  <si>
    <t>GRA010e</t>
  </si>
  <si>
    <t>TRANSPORTE DE RESIDUOS INERTES (METÁLICOS)</t>
  </si>
  <si>
    <t>GRA010f</t>
  </si>
  <si>
    <t>TRANSPORTE DE RESIDUOS INERTES (SIN CLASIFICAR)</t>
  </si>
  <si>
    <t>GRB010</t>
  </si>
  <si>
    <t>CANON VERTIDO RESIDUOS INERTES</t>
  </si>
  <si>
    <t>TOTAL PEM DEL PROYECTO</t>
  </si>
  <si>
    <t>Comprobación: PEM del BC3</t>
  </si>
  <si>
    <t>COSTE DEL SISTEMA MODULAR QUE SUSTITUYE ESTRUCTURA Y ENVOLVENTE (por vivienda pareada)</t>
  </si>
  <si>
    <t>Sustituye a forjados, solera ventilada, losa de escalera, cubiertas, fábrica de ladrillo, enfoscados, monocapa, aislamientos y trasdosado del proyecto.</t>
  </si>
  <si>
    <t>Partida</t>
  </si>
  <si>
    <t>Cantidad</t>
  </si>
  <si>
    <t>Coste unitario</t>
  </si>
  <si>
    <t>Importe</t>
  </si>
  <si>
    <t>Cómo se calcula</t>
  </si>
  <si>
    <t>Estructura de acero de los 6 módulos (pilares, vigas, correas, arriostramientos)</t>
  </si>
  <si>
    <t>kg/m² × m² construidos × coste del kg fabricado</t>
  </si>
  <si>
    <t>Panel sándwich 8+50+8 en fachadas y medianera, colocado</t>
  </si>
  <si>
    <t>Panel con IPC y merma + horas de montaje</t>
  </si>
  <si>
    <t>Trasdosado interior con aislamiento (como el proyecto)</t>
  </si>
  <si>
    <t>Precio del proyecto</t>
  </si>
  <si>
    <t>Suplemento de aislamiento para U = 0,20</t>
  </si>
  <si>
    <t>Acabado exterior sobre panel</t>
  </si>
  <si>
    <t>ESTIMADO: pedir precio</t>
  </si>
  <si>
    <t>Doble placa de protección contra incendios en medianera</t>
  </si>
  <si>
    <t>Placa 13 mm del banco de precios</t>
  </si>
  <si>
    <t>Panel sándwich 8+65+8 de cubierta, colocado</t>
  </si>
  <si>
    <t>Sistema de cubierta sobre panel: pendientes, impermeabilización y grava</t>
  </si>
  <si>
    <t>Precio del proyecto, sin su XPS</t>
  </si>
  <si>
    <t>Panel sándwich 8+120+8 en suelo de planta baja, colocado</t>
  </si>
  <si>
    <t>Sustituye a la solera ventilada Cáviti</t>
  </si>
  <si>
    <t>Panel sándwich 8+65+8 en suelo de planta primera, colocado</t>
  </si>
  <si>
    <t>Sustituye al forjado unidireccional</t>
  </si>
  <si>
    <t>Escalera metálica con peldaños</t>
  </si>
  <si>
    <t>Sustituye a losa + peldañeado</t>
  </si>
  <si>
    <t>Juntas, sellados y remates entre módulos</t>
  </si>
  <si>
    <t>Colectores suspendidos bajo planta baja (como el proyecto)</t>
  </si>
  <si>
    <t>COSTE SISTEMA MODULAR (sustituye)</t>
  </si>
  <si>
    <t>ESPECÍFICOS DE LA CONSTRUCCIÓN MODULAR</t>
  </si>
  <si>
    <t>Transporte de módulos Seseña – Guadalix</t>
  </si>
  <si>
    <t>Grúa de colocación</t>
  </si>
  <si>
    <t>Compartida: 2 viviendas por jornada</t>
  </si>
  <si>
    <t>Montaje en parcela: uniones, conexión de instalaciones y remates</t>
  </si>
  <si>
    <t>h</t>
  </si>
  <si>
    <t>Ingeniería: cálculo modular y proyecto de fabricación</t>
  </si>
  <si>
    <t>Repartida entre las 16 viviendas</t>
  </si>
  <si>
    <t>Gastos fijos de fábrica (nave, oficina técnica, gestión)</t>
  </si>
  <si>
    <t>Gasto mensual / viviendas al mes</t>
  </si>
  <si>
    <t>COSTE ESPECÍFICOS MODULARES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</si>
</sst>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 €;-#,##0 €;-"/>
    <numFmt numFmtId="165" formatCode="0.0%;-0.0%;-"/>
    <numFmt numFmtId="166" formatCode="#,##0.00 €;-#,##0.00 €;-"/>
    <numFmt numFmtId="167" formatCode="#,##0.00;-#,##0.00;-"/>
  </numFmts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0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color rgb="FF0000FF"/>
      <sz val="10"/>
      <name val="Arial"/>
    </font>
    <font>
      <b/>
      <sz val="12"/>
      <name val="Arial"/>
    </font>
    <font>
      <b/>
      <sz val="13"/>
      <name val="Arial"/>
    </font>
    <font>
      <color rgb="FF8A8A8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A36"/>
      </patternFill>
    </fill>
    <fill>
      <patternFill patternType="solid">
        <fgColor rgb="FFE3E8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5" fillId="0" borderId="0" xfId="0" applyFont="1"/>
    <xf numFmtId="164" fontId="5" fillId="0" borderId="0" xfId="0" applyNumberFormat="1" applyFont="1"/>
    <xf numFmtId="0" fontId="4" fillId="0" borderId="0" xfId="0" applyFont="1"/>
    <xf numFmtId="164" fontId="4" fillId="0" borderId="0" xfId="0" applyNumberFormat="1" applyFont="1"/>
    <xf numFmtId="165" fontId="5" fillId="0" borderId="0" xfId="0" applyNumberFormat="1" applyFont="1"/>
    <xf numFmtId="164" fontId="6" fillId="0" borderId="0" xfId="0" applyNumberFormat="1" applyFont="1"/>
    <xf numFmtId="0" fontId="7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165" fontId="6" fillId="4" borderId="0" xfId="0" applyNumberFormat="1" applyFont="1" applyFill="1"/>
    <xf numFmtId="1" fontId="6" fillId="4" borderId="0" xfId="0" applyNumberFormat="1" applyFont="1" applyFill="1"/>
    <xf numFmtId="166" fontId="6" fillId="4" borderId="0" xfId="0" applyNumberFormat="1" applyFont="1" applyFill="1"/>
    <xf numFmtId="167" fontId="6" fillId="4" borderId="0" xfId="0" applyNumberFormat="1" applyFont="1" applyFill="1"/>
    <xf numFmtId="164" fontId="6" fillId="4" borderId="0" xfId="0" applyNumberFormat="1" applyFont="1" applyFill="1"/>
    <xf numFmtId="167" fontId="6" fillId="0" borderId="0" xfId="0" applyNumberFormat="1" applyFont="1"/>
    <xf numFmtId="167" fontId="5" fillId="0" borderId="0" xfId="0" applyNumberFormat="1" applyFont="1"/>
    <xf numFmtId="166" fontId="6" fillId="0" borderId="0" xfId="0" applyNumberFormat="1" applyFont="1"/>
    <xf numFmtId="0" fontId="9" fillId="0" borderId="0" xfId="0" applyFont="1"/>
    <xf numFmtId="167" fontId="9" fillId="0" borderId="0" xfId="0" applyNumberFormat="1" applyFont="1"/>
    <xf numFmtId="166" fontId="9" fillId="0" borderId="0" xfId="0" applyNumberFormat="1" applyFont="1"/>
    <xf numFmtId="164" fontId="9" fillId="0" borderId="0" xfId="0" applyNumberFormat="1" applyFont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36"/>
  </sheetPr>
  <dimension ref="A1:D40"/>
  <sheetFormatPr defaultRowHeight="15" outlineLevelRow="0" outlineLevelCol="0" x14ac:dyDescent="55"/>
  <cols>
    <col min="1" max="1" width="62" customWidth="1"/>
    <col min="2" max="4" width="17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30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1" x14ac:dyDescent="0.25">
      <c r="A5" s="4" t="s">
        <v>6</v>
      </c>
    </row>
    <row r="6" spans="1:4" x14ac:dyDescent="0.25">
      <c r="A6" s="5" t="s">
        <v>7</v>
      </c>
      <c r="B6" s="6">
        <f>SUMIF('Proyecto por alcance'!$A$5:$A$314,"SUSTITUYE",'Proyecto por alcance'!$J$5:$J$314)</f>
      </c>
      <c r="C6" s="6">
        <f>B6/Supuestos!$B$8</f>
      </c>
      <c r="D6" s="6">
        <f>B6*Supuestos!$B$34</f>
      </c>
    </row>
    <row r="7" spans="1:4" x14ac:dyDescent="0.25">
      <c r="A7" s="5" t="s">
        <v>8</v>
      </c>
      <c r="B7" s="6">
        <f>SUMIF('Proyecto por alcance'!$A$5:$A$314,"IGUAL",'Proyecto por alcance'!$J$5:$J$314)</f>
      </c>
      <c r="C7" s="6">
        <f>B7/Supuestos!$B$8</f>
      </c>
      <c r="D7" s="6">
        <f>B7*Supuestos!$B$34</f>
      </c>
    </row>
    <row r="8" spans="1:4" x14ac:dyDescent="0.25">
      <c r="A8" s="7" t="s">
        <v>9</v>
      </c>
      <c r="B8" s="8">
        <f>SUM(B6:B7)</f>
      </c>
      <c r="C8" s="8">
        <f>B8/Supuestos!$B$8</f>
      </c>
      <c r="D8" s="8">
        <f>B8*Supuestos!$B$34</f>
      </c>
    </row>
    <row r="9" spans="1:4" x14ac:dyDescent="0.25">
      <c r="A9" s="7" t="s">
        <v>10</v>
      </c>
      <c r="B9" s="8">
        <f>B8*(1+Supuestos!$B$39)</f>
      </c>
      <c r="C9" s="8">
        <f>B9/Supuestos!$B$8</f>
      </c>
      <c r="D9" s="8">
        <f>B9*Supuestos!$B$34</f>
      </c>
    </row>
    <row r="10" spans="1:1" x14ac:dyDescent="0.25">
      <c r="A10" s="5" t="s">
        <v>11</v>
      </c>
    </row>
    <row r="11" spans="1:1" x14ac:dyDescent="0.25">
      <c r="A11" s="4" t="s">
        <v>12</v>
      </c>
    </row>
    <row r="12" spans="1:4" x14ac:dyDescent="0.25">
      <c r="A12" s="5" t="s">
        <v>13</v>
      </c>
      <c r="B12" s="6">
        <f>'Sistema modular'!$E$18</f>
      </c>
      <c r="C12" s="6">
        <f>B12/Supuestos!$B$8</f>
      </c>
      <c r="D12" s="6">
        <f>B12*Supuestos!$B$34</f>
      </c>
    </row>
    <row r="13" spans="1:4" x14ac:dyDescent="0.25">
      <c r="A13" s="5" t="s">
        <v>14</v>
      </c>
      <c r="B13" s="6">
        <f>B7*(1-Supuestos!$B$37)</f>
      </c>
      <c r="C13" s="6">
        <f>B13/Supuestos!$B$8</f>
      </c>
      <c r="D13" s="6">
        <f>B13*Supuestos!$B$34</f>
      </c>
    </row>
    <row r="14" spans="1:4" x14ac:dyDescent="0.25">
      <c r="A14" s="5" t="s">
        <v>15</v>
      </c>
      <c r="B14" s="6">
        <f>'Sistema modular'!$E$27</f>
      </c>
      <c r="C14" s="6">
        <f>B14/Supuestos!$B$8</f>
      </c>
      <c r="D14" s="6">
        <f>B14*Supuestos!$B$34</f>
      </c>
    </row>
    <row r="15" spans="1:4" x14ac:dyDescent="0.25">
      <c r="A15" s="7" t="s">
        <v>16</v>
      </c>
      <c r="B15" s="8">
        <f>SUM(B12:B14)</f>
      </c>
      <c r="C15" s="8">
        <f>B15/Supuestos!$B$8</f>
      </c>
      <c r="D15" s="8">
        <f>B15*Supuestos!$B$34</f>
      </c>
    </row>
    <row r="16" spans="1:4" x14ac:dyDescent="0.25">
      <c r="A16" s="5" t="s">
        <v>17</v>
      </c>
      <c r="B16" s="6">
        <f>B15*Supuestos!$B$38</f>
      </c>
      <c r="C16" s="6">
        <f>B16/Supuestos!$B$8</f>
      </c>
      <c r="D16" s="6">
        <f>B16*Supuestos!$B$34</f>
      </c>
    </row>
    <row r="17" spans="1:4" x14ac:dyDescent="0.25">
      <c r="A17" s="7" t="s">
        <v>18</v>
      </c>
      <c r="B17" s="8">
        <f>B15+B16</f>
      </c>
      <c r="C17" s="8">
        <f>B17/Supuestos!$B$8</f>
      </c>
      <c r="D17" s="8">
        <f>B17*Supuestos!$B$34</f>
      </c>
    </row>
    <row r="18" spans="1:1" x14ac:dyDescent="0.25">
      <c r="A18" s="5" t="s">
        <v>11</v>
      </c>
    </row>
    <row r="19" spans="1:4" x14ac:dyDescent="0.25">
      <c r="A19" s="7" t="s">
        <v>19</v>
      </c>
      <c r="B19" s="8">
        <f>B17-B9</f>
      </c>
      <c r="C19" s="8">
        <f>B19/Supuestos!$B$8</f>
      </c>
      <c r="D19" s="8">
        <f>B19*Supuestos!$B$34</f>
      </c>
    </row>
    <row r="20" spans="1:2" x14ac:dyDescent="0.25">
      <c r="A20" s="5" t="s">
        <v>20</v>
      </c>
      <c r="B20" s="9">
        <f>IF(B9=0,"",B19/B9)</f>
      </c>
    </row>
    <row r="21" spans="1:4" x14ac:dyDescent="0.25">
      <c r="A21" s="5" t="s">
        <v>21</v>
      </c>
      <c r="B21" s="10">
        <f>250600</f>
      </c>
      <c r="C21" s="6">
        <f>B21/Supuestos!$B$8</f>
      </c>
      <c r="D21" s="6">
        <f>B21*Supuestos!$B$34</f>
      </c>
    </row>
    <row r="22" spans="1:4" x14ac:dyDescent="0.25">
      <c r="A22" s="5" t="s">
        <v>22</v>
      </c>
      <c r="B22" s="6">
        <f>B17-B21</f>
      </c>
      <c r="C22" s="6">
        <f>B22/Supuestos!$B$8</f>
      </c>
      <c r="D22" s="6">
        <f>B22*Supuestos!$B$34</f>
      </c>
    </row>
    <row r="25" spans="1:1" x14ac:dyDescent="0.25">
      <c r="A25" s="11" t="s">
        <v>23</v>
      </c>
    </row>
    <row r="26" spans="1:1" x14ac:dyDescent="0.25">
      <c r="A26" s="2" t="s">
        <v>24</v>
      </c>
    </row>
    <row r="27" ht="30" customHeight="1" spans="1:4" x14ac:dyDescent="0.25">
      <c r="A27" s="3" t="s">
        <v>25</v>
      </c>
      <c r="B27" s="3" t="s">
        <v>26</v>
      </c>
      <c r="C27" s="3" t="s">
        <v>27</v>
      </c>
      <c r="D27" s="3" t="s">
        <v>28</v>
      </c>
    </row>
    <row r="28" spans="1:4" x14ac:dyDescent="0.25">
      <c r="A28" s="5" t="s">
        <v>29</v>
      </c>
      <c r="B28" s="6">
        <f>((B15-'Sistema modular'!$E$5-B13)+90*Supuestos!$B$8*Supuestos!$B$7+$B$7*(1-0))*(1+Supuestos!$B$38)</f>
      </c>
      <c r="C28" s="6">
        <f>((B15-'Sistema modular'!$E$5-B13)+90*Supuestos!$B$8*Supuestos!$B$7+$B$7*(1-0.08))*(1+Supuestos!$B$38)</f>
      </c>
      <c r="D28" s="6">
        <f>((B15-'Sistema modular'!$E$5-B13)+90*Supuestos!$B$8*Supuestos!$B$7+$B$7*(1-0.12))*(1+Supuestos!$B$38)</f>
      </c>
    </row>
    <row r="29" spans="1:4" x14ac:dyDescent="0.25">
      <c r="A29" s="5" t="s">
        <v>30</v>
      </c>
      <c r="B29" s="6">
        <f>((B15-'Sistema modular'!$E$5-B13)+75*Supuestos!$B$8*Supuestos!$B$7+$B$7*(1-0))*(1+Supuestos!$B$38)</f>
      </c>
      <c r="C29" s="6">
        <f>((B15-'Sistema modular'!$E$5-B13)+75*Supuestos!$B$8*Supuestos!$B$7+$B$7*(1-0.08))*(1+Supuestos!$B$38)</f>
      </c>
      <c r="D29" s="6">
        <f>((B15-'Sistema modular'!$E$5-B13)+75*Supuestos!$B$8*Supuestos!$B$7+$B$7*(1-0.12))*(1+Supuestos!$B$38)</f>
      </c>
    </row>
    <row r="30" spans="1:4" x14ac:dyDescent="0.25">
      <c r="A30" s="5" t="s">
        <v>31</v>
      </c>
      <c r="B30" s="6">
        <f>((B15-'Sistema modular'!$E$5-B13)+65*Supuestos!$B$8*Supuestos!$B$7+$B$7*(1-0))*(1+Supuestos!$B$38)</f>
      </c>
      <c r="C30" s="6">
        <f>((B15-'Sistema modular'!$E$5-B13)+65*Supuestos!$B$8*Supuestos!$B$7+$B$7*(1-0.08))*(1+Supuestos!$B$38)</f>
      </c>
      <c r="D30" s="6">
        <f>((B15-'Sistema modular'!$E$5-B13)+65*Supuestos!$B$8*Supuestos!$B$7+$B$7*(1-0.12))*(1+Supuestos!$B$38)</f>
      </c>
    </row>
    <row r="31" spans="1:4" x14ac:dyDescent="0.25">
      <c r="A31" s="5" t="s">
        <v>32</v>
      </c>
      <c r="B31" s="6">
        <f>((B15-'Sistema modular'!$E$5-B13)+55*Supuestos!$B$8*Supuestos!$B$7+$B$7*(1-0))*(1+Supuestos!$B$38)</f>
      </c>
      <c r="C31" s="6">
        <f>((B15-'Sistema modular'!$E$5-B13)+55*Supuestos!$B$8*Supuestos!$B$7+$B$7*(1-0.08))*(1+Supuestos!$B$38)</f>
      </c>
      <c r="D31" s="6">
        <f>((B15-'Sistema modular'!$E$5-B13)+55*Supuestos!$B$8*Supuestos!$B$7+$B$7*(1-0.12))*(1+Supuestos!$B$38)</f>
      </c>
    </row>
    <row r="32" spans="1:4" x14ac:dyDescent="0.25">
      <c r="A32" s="5" t="s">
        <v>33</v>
      </c>
      <c r="B32" s="6">
        <f>((B15-'Sistema modular'!$E$5-B13)+45*Supuestos!$B$8*Supuestos!$B$7+$B$7*(1-0))*(1+Supuestos!$B$38)</f>
      </c>
      <c r="C32" s="6">
        <f>((B15-'Sistema modular'!$E$5-B13)+45*Supuestos!$B$8*Supuestos!$B$7+$B$7*(1-0.08))*(1+Supuestos!$B$38)</f>
      </c>
      <c r="D32" s="6">
        <f>((B15-'Sistema modular'!$E$5-B13)+45*Supuestos!$B$8*Supuestos!$B$7+$B$7*(1-0.12))*(1+Supuestos!$B$38)</f>
      </c>
    </row>
    <row r="33" spans="1:2" x14ac:dyDescent="0.25">
      <c r="A33" s="7" t="s">
        <v>34</v>
      </c>
      <c r="B33" s="8">
        <f>B9</f>
      </c>
    </row>
    <row r="35" spans="1:4" x14ac:dyDescent="0.25">
      <c r="A35" s="12" t="s">
        <v>35</v>
      </c>
      <c r="B35" s="12"/>
      <c r="C35" s="12"/>
      <c r="D35" s="12"/>
    </row>
    <row r="36" ht="30" customHeight="1" spans="1:4" x14ac:dyDescent="0.25">
      <c r="A36" s="13" t="s">
        <v>36</v>
      </c>
      <c r="B36" s="13"/>
      <c r="C36" s="13"/>
      <c r="D36" s="13"/>
    </row>
    <row r="37" ht="30" customHeight="1" spans="1:4" x14ac:dyDescent="0.25">
      <c r="A37" s="13" t="s">
        <v>37</v>
      </c>
      <c r="B37" s="13"/>
      <c r="C37" s="13"/>
      <c r="D37" s="13"/>
    </row>
    <row r="38" ht="30" customHeight="1" spans="1:4" x14ac:dyDescent="0.25">
      <c r="A38" s="13" t="s">
        <v>38</v>
      </c>
      <c r="B38" s="13"/>
      <c r="C38" s="13"/>
      <c r="D38" s="13"/>
    </row>
    <row r="39" ht="30" customHeight="1" spans="1:4" x14ac:dyDescent="0.25">
      <c r="A39" s="13" t="s">
        <v>39</v>
      </c>
      <c r="B39" s="13"/>
      <c r="C39" s="13"/>
      <c r="D39" s="13"/>
    </row>
    <row r="40" ht="30" customHeight="1" spans="1:4" x14ac:dyDescent="0.25">
      <c r="A40" s="13" t="s">
        <v>40</v>
      </c>
      <c r="B40" s="13"/>
      <c r="C40" s="13"/>
      <c r="D40" s="13"/>
    </row>
  </sheetData>
  <mergeCells count="6">
    <mergeCell ref="A35:D35"/>
    <mergeCell ref="A36:D36"/>
    <mergeCell ref="A37:D37"/>
    <mergeCell ref="A38:D38"/>
    <mergeCell ref="A39:D39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39"/>
  <sheetFormatPr defaultRowHeight="15" outlineLevelRow="0" outlineLevelCol="0" x14ac:dyDescent="55"/>
  <cols>
    <col min="1" max="1" width="58" customWidth="1"/>
    <col min="2" max="2" width="14" customWidth="1"/>
    <col min="3" max="3" width="80" customWidth="1"/>
  </cols>
  <sheetData>
    <row r="1" spans="1:1" x14ac:dyDescent="0.25">
      <c r="A1" s="14" t="s">
        <v>41</v>
      </c>
    </row>
    <row r="2" spans="1:1" x14ac:dyDescent="0.25">
      <c r="A2" s="2" t="s">
        <v>42</v>
      </c>
    </row>
    <row r="4" ht="30" customHeight="1" spans="1:3" x14ac:dyDescent="0.25">
      <c r="A4" s="3" t="s">
        <v>2</v>
      </c>
      <c r="B4" s="3" t="s">
        <v>43</v>
      </c>
      <c r="C4" s="3" t="s">
        <v>44</v>
      </c>
    </row>
    <row r="5" spans="1:3" x14ac:dyDescent="0.25">
      <c r="A5" s="5" t="s">
        <v>45</v>
      </c>
      <c r="B5" s="15">
        <v>0.12</v>
      </c>
      <c r="C5" s="5" t="s">
        <v>46</v>
      </c>
    </row>
    <row r="6" spans="1:3" x14ac:dyDescent="0.25">
      <c r="A6" s="5" t="s">
        <v>47</v>
      </c>
      <c r="B6" s="16">
        <v>90</v>
      </c>
      <c r="C6" s="5" t="s">
        <v>48</v>
      </c>
    </row>
    <row r="7" spans="1:3" x14ac:dyDescent="0.25">
      <c r="A7" s="5" t="s">
        <v>49</v>
      </c>
      <c r="B7" s="17">
        <v>2.6</v>
      </c>
      <c r="C7" s="5" t="s">
        <v>50</v>
      </c>
    </row>
    <row r="8" spans="1:3" x14ac:dyDescent="0.25">
      <c r="A8" s="5" t="s">
        <v>51</v>
      </c>
      <c r="B8" s="18">
        <v>148.3</v>
      </c>
      <c r="C8" s="5" t="s">
        <v>52</v>
      </c>
    </row>
    <row r="9" spans="1:3" x14ac:dyDescent="0.25">
      <c r="A9" s="5" t="s">
        <v>53</v>
      </c>
      <c r="B9" s="18">
        <v>166.54</v>
      </c>
      <c r="C9" s="5" t="s">
        <v>54</v>
      </c>
    </row>
    <row r="10" spans="1:3" x14ac:dyDescent="0.25">
      <c r="A10" s="5" t="s">
        <v>55</v>
      </c>
      <c r="B10" s="18">
        <v>140</v>
      </c>
      <c r="C10" s="5" t="s">
        <v>56</v>
      </c>
    </row>
    <row r="11" spans="1:3" x14ac:dyDescent="0.25">
      <c r="A11" s="5" t="s">
        <v>57</v>
      </c>
      <c r="B11" s="18">
        <v>26.94</v>
      </c>
      <c r="C11" s="5" t="s">
        <v>58</v>
      </c>
    </row>
    <row r="12" spans="1:3" x14ac:dyDescent="0.25">
      <c r="A12" s="5" t="s">
        <v>59</v>
      </c>
      <c r="B12" s="18">
        <v>74.7</v>
      </c>
      <c r="C12" s="5" t="s">
        <v>60</v>
      </c>
    </row>
    <row r="13" spans="1:3" x14ac:dyDescent="0.25">
      <c r="A13" s="5" t="s">
        <v>61</v>
      </c>
      <c r="B13" s="18">
        <v>74.58</v>
      </c>
      <c r="C13" s="5" t="s">
        <v>62</v>
      </c>
    </row>
    <row r="14" spans="1:3" x14ac:dyDescent="0.25">
      <c r="A14" s="5" t="s">
        <v>63</v>
      </c>
      <c r="B14" s="18">
        <v>73.72</v>
      </c>
      <c r="C14" s="5" t="s">
        <v>64</v>
      </c>
    </row>
    <row r="15" spans="1:3" x14ac:dyDescent="0.25">
      <c r="A15" s="5" t="s">
        <v>65</v>
      </c>
      <c r="B15" s="17">
        <v>23</v>
      </c>
      <c r="C15" s="5" t="s">
        <v>66</v>
      </c>
    </row>
    <row r="16" spans="1:3" x14ac:dyDescent="0.25">
      <c r="A16" s="5" t="s">
        <v>67</v>
      </c>
      <c r="B16" s="18">
        <v>0.5</v>
      </c>
      <c r="C16" s="5" t="s">
        <v>68</v>
      </c>
    </row>
    <row r="17" spans="1:3" x14ac:dyDescent="0.25">
      <c r="A17" s="5" t="s">
        <v>69</v>
      </c>
      <c r="B17" s="15">
        <v>0.05</v>
      </c>
      <c r="C17" s="5" t="s">
        <v>70</v>
      </c>
    </row>
    <row r="18" spans="1:3" x14ac:dyDescent="0.25">
      <c r="A18" s="5" t="s">
        <v>71</v>
      </c>
      <c r="B18" s="17">
        <v>42</v>
      </c>
      <c r="C18" s="5" t="s">
        <v>72</v>
      </c>
    </row>
    <row r="19" spans="1:3" x14ac:dyDescent="0.25">
      <c r="A19" s="5" t="s">
        <v>73</v>
      </c>
      <c r="B19" s="17">
        <v>52</v>
      </c>
      <c r="C19" s="5" t="s">
        <v>74</v>
      </c>
    </row>
    <row r="20" spans="1:3" x14ac:dyDescent="0.25">
      <c r="A20" s="5" t="s">
        <v>75</v>
      </c>
      <c r="B20" s="17">
        <v>64</v>
      </c>
      <c r="C20" s="5" t="s">
        <v>74</v>
      </c>
    </row>
    <row r="21" spans="1:3" x14ac:dyDescent="0.25">
      <c r="A21" s="5" t="s">
        <v>76</v>
      </c>
      <c r="B21" s="17">
        <v>31.85</v>
      </c>
      <c r="C21" s="5" t="s">
        <v>77</v>
      </c>
    </row>
    <row r="22" spans="1:3" x14ac:dyDescent="0.25">
      <c r="A22" s="5" t="s">
        <v>78</v>
      </c>
      <c r="B22" s="17">
        <v>10</v>
      </c>
      <c r="C22" s="5" t="s">
        <v>79</v>
      </c>
    </row>
    <row r="23" spans="1:3" x14ac:dyDescent="0.25">
      <c r="A23" s="5" t="s">
        <v>80</v>
      </c>
      <c r="B23" s="17">
        <v>45</v>
      </c>
      <c r="C23" s="5" t="s">
        <v>81</v>
      </c>
    </row>
    <row r="24" spans="1:3" x14ac:dyDescent="0.25">
      <c r="A24" s="5" t="s">
        <v>82</v>
      </c>
      <c r="B24" s="17">
        <v>88.8</v>
      </c>
      <c r="C24" s="5" t="s">
        <v>83</v>
      </c>
    </row>
    <row r="25" spans="1:3" x14ac:dyDescent="0.25">
      <c r="A25" s="5" t="s">
        <v>84</v>
      </c>
      <c r="B25" s="19">
        <v>2500</v>
      </c>
      <c r="C25" s="5" t="s">
        <v>85</v>
      </c>
    </row>
    <row r="26" spans="1:3" x14ac:dyDescent="0.25">
      <c r="A26" s="5" t="s">
        <v>86</v>
      </c>
      <c r="B26" s="19">
        <v>1500</v>
      </c>
      <c r="C26" s="5" t="s">
        <v>70</v>
      </c>
    </row>
    <row r="27" spans="1:3" x14ac:dyDescent="0.25">
      <c r="A27" s="5" t="s">
        <v>87</v>
      </c>
      <c r="B27" s="17">
        <v>941.45</v>
      </c>
      <c r="C27" s="5" t="s">
        <v>88</v>
      </c>
    </row>
    <row r="28" spans="1:3" x14ac:dyDescent="0.25">
      <c r="A28" s="5" t="s">
        <v>89</v>
      </c>
      <c r="B28" s="16">
        <v>6</v>
      </c>
      <c r="C28" s="5" t="s">
        <v>90</v>
      </c>
    </row>
    <row r="29" spans="1:3" x14ac:dyDescent="0.25">
      <c r="A29" s="5" t="s">
        <v>91</v>
      </c>
      <c r="B29" s="19">
        <v>900</v>
      </c>
      <c r="C29" s="5" t="s">
        <v>92</v>
      </c>
    </row>
    <row r="30" spans="1:3" x14ac:dyDescent="0.25">
      <c r="A30" s="5" t="s">
        <v>93</v>
      </c>
      <c r="B30" s="19">
        <v>1750</v>
      </c>
      <c r="C30" s="5" t="s">
        <v>94</v>
      </c>
    </row>
    <row r="31" spans="1:3" x14ac:dyDescent="0.25">
      <c r="A31" s="5" t="s">
        <v>95</v>
      </c>
      <c r="B31" s="16">
        <v>144</v>
      </c>
      <c r="C31" s="5" t="s">
        <v>96</v>
      </c>
    </row>
    <row r="32" spans="1:3" x14ac:dyDescent="0.25">
      <c r="A32" s="5" t="s">
        <v>97</v>
      </c>
      <c r="B32" s="15">
        <v>0.15</v>
      </c>
      <c r="C32" s="5" t="s">
        <v>98</v>
      </c>
    </row>
    <row r="33" spans="1:3" x14ac:dyDescent="0.25">
      <c r="A33" s="5" t="s">
        <v>99</v>
      </c>
      <c r="B33" s="19">
        <v>25000</v>
      </c>
      <c r="C33" s="5" t="s">
        <v>100</v>
      </c>
    </row>
    <row r="34" spans="1:3" x14ac:dyDescent="0.25">
      <c r="A34" s="5" t="s">
        <v>101</v>
      </c>
      <c r="B34" s="16">
        <v>16</v>
      </c>
      <c r="C34" s="5" t="s">
        <v>11</v>
      </c>
    </row>
    <row r="35" spans="1:3" x14ac:dyDescent="0.25">
      <c r="A35" s="5" t="s">
        <v>102</v>
      </c>
      <c r="B35" s="19">
        <v>20430</v>
      </c>
      <c r="C35" s="5" t="s">
        <v>103</v>
      </c>
    </row>
    <row r="36" spans="1:3" x14ac:dyDescent="0.25">
      <c r="A36" s="5" t="s">
        <v>104</v>
      </c>
      <c r="B36" s="18">
        <v>2</v>
      </c>
      <c r="C36" s="5" t="s">
        <v>105</v>
      </c>
    </row>
    <row r="37" spans="1:3" x14ac:dyDescent="0.25">
      <c r="A37" s="5" t="s">
        <v>106</v>
      </c>
      <c r="B37" s="15">
        <v>0</v>
      </c>
      <c r="C37" s="5" t="s">
        <v>107</v>
      </c>
    </row>
    <row r="38" spans="1:3" x14ac:dyDescent="0.25">
      <c r="A38" s="5" t="s">
        <v>108</v>
      </c>
      <c r="B38" s="15">
        <v>0.1</v>
      </c>
      <c r="C38" s="5" t="s">
        <v>109</v>
      </c>
    </row>
    <row r="39" spans="1:3" x14ac:dyDescent="0.25">
      <c r="A39" s="5" t="s">
        <v>110</v>
      </c>
      <c r="B39" s="15">
        <v>0.19</v>
      </c>
      <c r="C39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6" customWidth="1"/>
    <col min="4" max="4" width="62" customWidth="1"/>
    <col min="5" max="5" width="6" customWidth="1"/>
    <col min="6" max="6" width="13" customWidth="1"/>
    <col min="7" max="8" width="12" customWidth="1"/>
    <col min="9" max="9" width="14" customWidth="1"/>
    <col min="10" max="10" width="13" customWidth="1"/>
  </cols>
  <sheetData>
    <row r="1" spans="1:1" x14ac:dyDescent="0.25">
      <c r="A1" s="14" t="s">
        <v>112</v>
      </c>
    </row>
    <row r="2" spans="1:1" x14ac:dyDescent="0.25">
      <c r="A2" s="2" t="s">
        <v>113</v>
      </c>
    </row>
    <row r="4" ht="30" customHeight="1" spans="1:10" x14ac:dyDescent="0.25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120</v>
      </c>
      <c r="H4" s="3" t="s">
        <v>121</v>
      </c>
      <c r="I4" s="3" t="s">
        <v>122</v>
      </c>
      <c r="J4" s="3" t="s">
        <v>123</v>
      </c>
    </row>
    <row r="5" spans="1:10" x14ac:dyDescent="0.25">
      <c r="A5" s="5" t="s">
        <v>124</v>
      </c>
      <c r="B5" s="5" t="s">
        <v>125</v>
      </c>
      <c r="C5" s="5" t="s">
        <v>126</v>
      </c>
      <c r="D5" s="5" t="s">
        <v>127</v>
      </c>
      <c r="E5" s="5" t="s">
        <v>128</v>
      </c>
      <c r="F5" s="20">
        <v>27.2</v>
      </c>
      <c r="G5" s="21">
        <f>F5/Supuestos!$B$34</f>
      </c>
      <c r="H5" s="22">
        <v>17.53</v>
      </c>
      <c r="I5" s="6">
        <f>F5*H5</f>
      </c>
      <c r="J5" s="6">
        <f>I5/Supuestos!$B$34</f>
      </c>
    </row>
    <row r="6" spans="1:10" x14ac:dyDescent="0.25">
      <c r="A6" s="5" t="s">
        <v>124</v>
      </c>
      <c r="B6" s="5" t="s">
        <v>125</v>
      </c>
      <c r="C6" s="5" t="s">
        <v>129</v>
      </c>
      <c r="D6" s="5" t="s">
        <v>130</v>
      </c>
      <c r="E6" s="5" t="s">
        <v>128</v>
      </c>
      <c r="F6" s="20">
        <v>84.8</v>
      </c>
      <c r="G6" s="21">
        <f>F6/Supuestos!$B$34</f>
      </c>
      <c r="H6" s="22">
        <v>27.09</v>
      </c>
      <c r="I6" s="6">
        <f>F6*H6</f>
      </c>
      <c r="J6" s="6">
        <f>I6/Supuestos!$B$34</f>
      </c>
    </row>
    <row r="7" spans="1:10" x14ac:dyDescent="0.25">
      <c r="A7" s="5" t="s">
        <v>124</v>
      </c>
      <c r="B7" s="5" t="s">
        <v>125</v>
      </c>
      <c r="C7" s="5" t="s">
        <v>131</v>
      </c>
      <c r="D7" s="5" t="s">
        <v>132</v>
      </c>
      <c r="E7" s="5" t="s">
        <v>128</v>
      </c>
      <c r="F7" s="20">
        <v>408</v>
      </c>
      <c r="G7" s="21">
        <f>F7/Supuestos!$B$34</f>
      </c>
      <c r="H7" s="22">
        <v>30.1</v>
      </c>
      <c r="I7" s="6">
        <f>F7*H7</f>
      </c>
      <c r="J7" s="6">
        <f>I7/Supuestos!$B$34</f>
      </c>
    </row>
    <row r="8" spans="1:10" x14ac:dyDescent="0.25">
      <c r="A8" s="5" t="s">
        <v>124</v>
      </c>
      <c r="B8" s="5" t="s">
        <v>133</v>
      </c>
      <c r="C8" s="5" t="s">
        <v>134</v>
      </c>
      <c r="D8" s="5" t="s">
        <v>135</v>
      </c>
      <c r="E8" s="5" t="s">
        <v>136</v>
      </c>
      <c r="F8" s="20">
        <v>1207.85</v>
      </c>
      <c r="G8" s="21">
        <f>F8/Supuestos!$B$34</f>
      </c>
      <c r="H8" s="22">
        <v>39.45</v>
      </c>
      <c r="I8" s="6">
        <f>F8*H8</f>
      </c>
      <c r="J8" s="6">
        <f>I8/Supuestos!$B$34</f>
      </c>
    </row>
    <row r="9" spans="1:10" x14ac:dyDescent="0.25">
      <c r="A9" s="5" t="s">
        <v>124</v>
      </c>
      <c r="B9" s="5" t="s">
        <v>133</v>
      </c>
      <c r="C9" s="5" t="s">
        <v>137</v>
      </c>
      <c r="D9" s="5" t="s">
        <v>138</v>
      </c>
      <c r="E9" s="5" t="s">
        <v>136</v>
      </c>
      <c r="F9" s="20">
        <v>1285.15</v>
      </c>
      <c r="G9" s="21">
        <f>F9/Supuestos!$B$34</f>
      </c>
      <c r="H9" s="22">
        <v>83.78</v>
      </c>
      <c r="I9" s="6">
        <f>F9*H9</f>
      </c>
      <c r="J9" s="6">
        <f>I9/Supuestos!$B$34</f>
      </c>
    </row>
    <row r="10" spans="1:10" x14ac:dyDescent="0.25">
      <c r="A10" s="5" t="s">
        <v>124</v>
      </c>
      <c r="B10" s="5" t="s">
        <v>133</v>
      </c>
      <c r="C10" s="5" t="s">
        <v>139</v>
      </c>
      <c r="D10" s="5" t="s">
        <v>140</v>
      </c>
      <c r="E10" s="5" t="s">
        <v>136</v>
      </c>
      <c r="F10" s="20">
        <v>1091.6</v>
      </c>
      <c r="G10" s="21">
        <f>F10/Supuestos!$B$34</f>
      </c>
      <c r="H10" s="22">
        <v>85.14</v>
      </c>
      <c r="I10" s="6">
        <f>F10*H10</f>
      </c>
      <c r="J10" s="6">
        <f>I10/Supuestos!$B$34</f>
      </c>
    </row>
    <row r="11" spans="1:10" x14ac:dyDescent="0.25">
      <c r="A11" s="5" t="s">
        <v>124</v>
      </c>
      <c r="B11" s="5" t="s">
        <v>133</v>
      </c>
      <c r="C11" s="5" t="s">
        <v>141</v>
      </c>
      <c r="D11" s="5" t="s">
        <v>142</v>
      </c>
      <c r="E11" s="5" t="s">
        <v>136</v>
      </c>
      <c r="F11" s="20">
        <v>112</v>
      </c>
      <c r="G11" s="21">
        <f>F11/Supuestos!$B$34</f>
      </c>
      <c r="H11" s="22">
        <v>69.16</v>
      </c>
      <c r="I11" s="6">
        <f>F11*H11</f>
      </c>
      <c r="J11" s="6">
        <f>I11/Supuestos!$B$34</f>
      </c>
    </row>
    <row r="12" spans="1:10" x14ac:dyDescent="0.25">
      <c r="A12" s="5" t="s">
        <v>124</v>
      </c>
      <c r="B12" s="5" t="s">
        <v>143</v>
      </c>
      <c r="C12" s="5" t="s">
        <v>144</v>
      </c>
      <c r="D12" s="5" t="s">
        <v>145</v>
      </c>
      <c r="E12" s="5" t="s">
        <v>136</v>
      </c>
      <c r="F12" s="20">
        <v>1195.45</v>
      </c>
      <c r="G12" s="21">
        <f>F12/Supuestos!$B$34</f>
      </c>
      <c r="H12" s="22">
        <v>88.8</v>
      </c>
      <c r="I12" s="6">
        <f>F12*H12</f>
      </c>
      <c r="J12" s="6">
        <f>I12/Supuestos!$B$34</f>
      </c>
    </row>
    <row r="13" spans="1:10" x14ac:dyDescent="0.25">
      <c r="A13" s="5" t="s">
        <v>124</v>
      </c>
      <c r="B13" s="5" t="s">
        <v>143</v>
      </c>
      <c r="C13" s="5" t="s">
        <v>146</v>
      </c>
      <c r="D13" s="5" t="s">
        <v>147</v>
      </c>
      <c r="E13" s="5" t="s">
        <v>136</v>
      </c>
      <c r="F13" s="20">
        <v>143.1</v>
      </c>
      <c r="G13" s="21">
        <f>F13/Supuestos!$B$34</f>
      </c>
      <c r="H13" s="22">
        <v>97.54</v>
      </c>
      <c r="I13" s="6">
        <f>F13*H13</f>
      </c>
      <c r="J13" s="6">
        <f>I13/Supuestos!$B$34</f>
      </c>
    </row>
    <row r="14" spans="1:10" x14ac:dyDescent="0.25">
      <c r="A14" s="5" t="s">
        <v>124</v>
      </c>
      <c r="B14" s="5" t="s">
        <v>143</v>
      </c>
      <c r="C14" s="5" t="s">
        <v>148</v>
      </c>
      <c r="D14" s="5" t="s">
        <v>147</v>
      </c>
      <c r="E14" s="5" t="s">
        <v>136</v>
      </c>
      <c r="F14" s="20">
        <v>21</v>
      </c>
      <c r="G14" s="21">
        <f>F14/Supuestos!$B$34</f>
      </c>
      <c r="H14" s="22">
        <v>81.52</v>
      </c>
      <c r="I14" s="6">
        <f>F14*H14</f>
      </c>
      <c r="J14" s="6">
        <f>I14/Supuestos!$B$34</f>
      </c>
    </row>
    <row r="15" spans="1:10" x14ac:dyDescent="0.25">
      <c r="A15" s="5" t="s">
        <v>124</v>
      </c>
      <c r="B15" s="5" t="s">
        <v>149</v>
      </c>
      <c r="C15" s="5" t="s">
        <v>150</v>
      </c>
      <c r="D15" s="5" t="s">
        <v>151</v>
      </c>
      <c r="E15" s="5" t="s">
        <v>136</v>
      </c>
      <c r="F15" s="20">
        <v>3070.32</v>
      </c>
      <c r="G15" s="21">
        <f>F15/Supuestos!$B$34</f>
      </c>
      <c r="H15" s="22">
        <v>23.49</v>
      </c>
      <c r="I15" s="6">
        <f>F15*H15</f>
      </c>
      <c r="J15" s="6">
        <f>I15/Supuestos!$B$34</f>
      </c>
    </row>
    <row r="16" spans="1:10" x14ac:dyDescent="0.25">
      <c r="A16" s="5" t="s">
        <v>124</v>
      </c>
      <c r="B16" s="5" t="s">
        <v>149</v>
      </c>
      <c r="C16" s="5" t="s">
        <v>152</v>
      </c>
      <c r="D16" s="5" t="s">
        <v>153</v>
      </c>
      <c r="E16" s="5" t="s">
        <v>136</v>
      </c>
      <c r="F16" s="20">
        <v>306.38</v>
      </c>
      <c r="G16" s="21">
        <f>F16/Supuestos!$B$34</f>
      </c>
      <c r="H16" s="22">
        <v>34.06</v>
      </c>
      <c r="I16" s="6">
        <f>F16*H16</f>
      </c>
      <c r="J16" s="6">
        <f>I16/Supuestos!$B$34</f>
      </c>
    </row>
    <row r="17" spans="1:10" x14ac:dyDescent="0.25">
      <c r="A17" s="5" t="s">
        <v>124</v>
      </c>
      <c r="B17" s="5" t="s">
        <v>149</v>
      </c>
      <c r="C17" s="5" t="s">
        <v>154</v>
      </c>
      <c r="D17" s="5" t="s">
        <v>155</v>
      </c>
      <c r="E17" s="5" t="s">
        <v>128</v>
      </c>
      <c r="F17" s="20">
        <v>358</v>
      </c>
      <c r="G17" s="21">
        <f>F17/Supuestos!$B$34</f>
      </c>
      <c r="H17" s="22">
        <v>15.55</v>
      </c>
      <c r="I17" s="6">
        <f>F17*H17</f>
      </c>
      <c r="J17" s="6">
        <f>I17/Supuestos!$B$34</f>
      </c>
    </row>
    <row r="18" spans="1:10" x14ac:dyDescent="0.25">
      <c r="A18" s="5" t="s">
        <v>124</v>
      </c>
      <c r="B18" s="5" t="s">
        <v>149</v>
      </c>
      <c r="C18" s="5" t="s">
        <v>156</v>
      </c>
      <c r="D18" s="5" t="s">
        <v>157</v>
      </c>
      <c r="E18" s="5" t="s">
        <v>136</v>
      </c>
      <c r="F18" s="20">
        <v>3973.66</v>
      </c>
      <c r="G18" s="21">
        <f>F18/Supuestos!$B$34</f>
      </c>
      <c r="H18" s="22">
        <v>7.47</v>
      </c>
      <c r="I18" s="6">
        <f>F18*H18</f>
      </c>
      <c r="J18" s="6">
        <f>I18/Supuestos!$B$34</f>
      </c>
    </row>
    <row r="19" spans="1:10" x14ac:dyDescent="0.25">
      <c r="A19" s="5" t="s">
        <v>124</v>
      </c>
      <c r="B19" s="5" t="s">
        <v>149</v>
      </c>
      <c r="C19" s="5" t="s">
        <v>158</v>
      </c>
      <c r="D19" s="5" t="s">
        <v>159</v>
      </c>
      <c r="E19" s="5" t="s">
        <v>136</v>
      </c>
      <c r="F19" s="20">
        <v>3642.26</v>
      </c>
      <c r="G19" s="21">
        <f>F19/Supuestos!$B$34</f>
      </c>
      <c r="H19" s="22">
        <v>22.36</v>
      </c>
      <c r="I19" s="6">
        <f>F19*H19</f>
      </c>
      <c r="J19" s="6">
        <f>I19/Supuestos!$B$34</f>
      </c>
    </row>
    <row r="20" spans="1:10" x14ac:dyDescent="0.25">
      <c r="A20" s="5" t="s">
        <v>124</v>
      </c>
      <c r="B20" s="5" t="s">
        <v>149</v>
      </c>
      <c r="C20" s="5" t="s">
        <v>160</v>
      </c>
      <c r="D20" s="5" t="s">
        <v>161</v>
      </c>
      <c r="E20" s="5" t="s">
        <v>128</v>
      </c>
      <c r="F20" s="20">
        <v>336</v>
      </c>
      <c r="G20" s="21">
        <f>F20/Supuestos!$B$34</f>
      </c>
      <c r="H20" s="22">
        <v>16.1</v>
      </c>
      <c r="I20" s="6">
        <f>F20*H20</f>
      </c>
      <c r="J20" s="6">
        <f>I20/Supuestos!$B$34</f>
      </c>
    </row>
    <row r="21" spans="1:10" x14ac:dyDescent="0.25">
      <c r="A21" s="5" t="s">
        <v>124</v>
      </c>
      <c r="B21" s="5" t="s">
        <v>149</v>
      </c>
      <c r="C21" s="5" t="s">
        <v>162</v>
      </c>
      <c r="D21" s="5" t="s">
        <v>163</v>
      </c>
      <c r="E21" s="5" t="s">
        <v>118</v>
      </c>
      <c r="F21" s="20">
        <v>128</v>
      </c>
      <c r="G21" s="21">
        <f>F21/Supuestos!$B$34</f>
      </c>
      <c r="H21" s="22">
        <v>4.26</v>
      </c>
      <c r="I21" s="6">
        <f>F21*H21</f>
      </c>
      <c r="J21" s="6">
        <f>I21/Supuestos!$B$34</f>
      </c>
    </row>
    <row r="22" spans="1:10" x14ac:dyDescent="0.25">
      <c r="A22" s="5" t="s">
        <v>124</v>
      </c>
      <c r="B22" s="5" t="s">
        <v>149</v>
      </c>
      <c r="C22" s="5" t="s">
        <v>164</v>
      </c>
      <c r="D22" s="5" t="s">
        <v>165</v>
      </c>
      <c r="E22" s="5" t="s">
        <v>118</v>
      </c>
      <c r="F22" s="20">
        <v>181</v>
      </c>
      <c r="G22" s="21">
        <f>F22/Supuestos!$B$34</f>
      </c>
      <c r="H22" s="22">
        <v>13.61</v>
      </c>
      <c r="I22" s="6">
        <f>F22*H22</f>
      </c>
      <c r="J22" s="6">
        <f>I22/Supuestos!$B$34</f>
      </c>
    </row>
    <row r="23" spans="1:10" x14ac:dyDescent="0.25">
      <c r="A23" s="5" t="s">
        <v>124</v>
      </c>
      <c r="B23" s="5" t="s">
        <v>149</v>
      </c>
      <c r="C23" s="5" t="s">
        <v>166</v>
      </c>
      <c r="D23" s="5" t="s">
        <v>167</v>
      </c>
      <c r="E23" s="5" t="s">
        <v>118</v>
      </c>
      <c r="F23" s="20">
        <v>16</v>
      </c>
      <c r="G23" s="21">
        <f>F23/Supuestos!$B$34</f>
      </c>
      <c r="H23" s="22">
        <v>380.06</v>
      </c>
      <c r="I23" s="6">
        <f>F23*H23</f>
      </c>
      <c r="J23" s="6">
        <f>I23/Supuestos!$B$34</f>
      </c>
    </row>
    <row r="24" spans="1:10" x14ac:dyDescent="0.25">
      <c r="A24" s="5" t="s">
        <v>124</v>
      </c>
      <c r="B24" s="5" t="s">
        <v>149</v>
      </c>
      <c r="C24" s="5" t="s">
        <v>168</v>
      </c>
      <c r="D24" s="5" t="s">
        <v>169</v>
      </c>
      <c r="E24" s="5" t="s">
        <v>118</v>
      </c>
      <c r="F24" s="20">
        <v>16</v>
      </c>
      <c r="G24" s="21">
        <f>F24/Supuestos!$B$34</f>
      </c>
      <c r="H24" s="22">
        <v>491.33</v>
      </c>
      <c r="I24" s="6">
        <f>F24*H24</f>
      </c>
      <c r="J24" s="6">
        <f>I24/Supuestos!$B$34</f>
      </c>
    </row>
    <row r="25" spans="1:10" x14ac:dyDescent="0.25">
      <c r="A25" s="5" t="s">
        <v>124</v>
      </c>
      <c r="B25" s="5" t="s">
        <v>149</v>
      </c>
      <c r="C25" s="5" t="s">
        <v>170</v>
      </c>
      <c r="D25" s="5" t="s">
        <v>171</v>
      </c>
      <c r="E25" s="5" t="s">
        <v>118</v>
      </c>
      <c r="F25" s="20">
        <v>16</v>
      </c>
      <c r="G25" s="21">
        <f>F25/Supuestos!$B$34</f>
      </c>
      <c r="H25" s="22">
        <v>491.33</v>
      </c>
      <c r="I25" s="6">
        <f>F25*H25</f>
      </c>
      <c r="J25" s="6">
        <f>I25/Supuestos!$B$34</f>
      </c>
    </row>
    <row r="26" spans="1:10" x14ac:dyDescent="0.25">
      <c r="A26" s="5" t="s">
        <v>124</v>
      </c>
      <c r="B26" s="5" t="s">
        <v>149</v>
      </c>
      <c r="C26" s="5" t="s">
        <v>172</v>
      </c>
      <c r="D26" s="5" t="s">
        <v>173</v>
      </c>
      <c r="E26" s="5" t="s">
        <v>118</v>
      </c>
      <c r="F26" s="20">
        <v>16</v>
      </c>
      <c r="G26" s="21">
        <f>F26/Supuestos!$B$34</f>
      </c>
      <c r="H26" s="22">
        <v>491.33</v>
      </c>
      <c r="I26" s="6">
        <f>F26*H26</f>
      </c>
      <c r="J26" s="6">
        <f>I26/Supuestos!$B$34</f>
      </c>
    </row>
    <row r="27" spans="1:10" x14ac:dyDescent="0.25">
      <c r="A27" s="5" t="s">
        <v>124</v>
      </c>
      <c r="B27" s="5" t="s">
        <v>174</v>
      </c>
      <c r="C27" s="5" t="s">
        <v>175</v>
      </c>
      <c r="D27" s="5" t="s">
        <v>176</v>
      </c>
      <c r="E27" s="5" t="s">
        <v>118</v>
      </c>
      <c r="F27" s="20">
        <v>33</v>
      </c>
      <c r="G27" s="21">
        <f>F27/Supuestos!$B$34</f>
      </c>
      <c r="H27" s="22">
        <v>37.44</v>
      </c>
      <c r="I27" s="6">
        <f>F27*H27</f>
      </c>
      <c r="J27" s="6">
        <f>I27/Supuestos!$B$34</f>
      </c>
    </row>
    <row r="28" spans="1:10" x14ac:dyDescent="0.25">
      <c r="A28" s="5" t="s">
        <v>124</v>
      </c>
      <c r="B28" s="5" t="s">
        <v>174</v>
      </c>
      <c r="C28" s="5" t="s">
        <v>177</v>
      </c>
      <c r="D28" s="5" t="s">
        <v>178</v>
      </c>
      <c r="E28" s="5" t="s">
        <v>118</v>
      </c>
      <c r="F28" s="20">
        <v>32</v>
      </c>
      <c r="G28" s="21">
        <f>F28/Supuestos!$B$34</f>
      </c>
      <c r="H28" s="22">
        <v>34.83</v>
      </c>
      <c r="I28" s="6">
        <f>F28*H28</f>
      </c>
      <c r="J28" s="6">
        <f>I28/Supuestos!$B$34</f>
      </c>
    </row>
    <row r="29" spans="1:10" x14ac:dyDescent="0.25">
      <c r="A29" s="5" t="s">
        <v>124</v>
      </c>
      <c r="B29" s="5" t="s">
        <v>174</v>
      </c>
      <c r="C29" s="5" t="s">
        <v>179</v>
      </c>
      <c r="D29" s="5" t="s">
        <v>180</v>
      </c>
      <c r="E29" s="5" t="s">
        <v>128</v>
      </c>
      <c r="F29" s="20">
        <v>467.15</v>
      </c>
      <c r="G29" s="21">
        <f>F29/Supuestos!$B$34</f>
      </c>
      <c r="H29" s="22">
        <v>11.92</v>
      </c>
      <c r="I29" s="6">
        <f>F29*H29</f>
      </c>
      <c r="J29" s="6">
        <f>I29/Supuestos!$B$34</f>
      </c>
    </row>
    <row r="30" spans="1:10" x14ac:dyDescent="0.25">
      <c r="A30" s="5" t="s">
        <v>124</v>
      </c>
      <c r="B30" s="5" t="s">
        <v>174</v>
      </c>
      <c r="C30" s="5" t="s">
        <v>181</v>
      </c>
      <c r="D30" s="5" t="s">
        <v>182</v>
      </c>
      <c r="E30" s="5" t="s">
        <v>128</v>
      </c>
      <c r="F30" s="20">
        <v>226.95</v>
      </c>
      <c r="G30" s="21">
        <f>F30/Supuestos!$B$34</f>
      </c>
      <c r="H30" s="22">
        <v>11.92</v>
      </c>
      <c r="I30" s="6">
        <f>F30*H30</f>
      </c>
      <c r="J30" s="6">
        <f>I30/Supuestos!$B$34</f>
      </c>
    </row>
    <row r="31" spans="1:10" x14ac:dyDescent="0.25">
      <c r="A31" s="5" t="s">
        <v>124</v>
      </c>
      <c r="B31" s="5" t="s">
        <v>174</v>
      </c>
      <c r="C31" s="5" t="s">
        <v>183</v>
      </c>
      <c r="D31" s="5" t="s">
        <v>184</v>
      </c>
      <c r="E31" s="5" t="s">
        <v>136</v>
      </c>
      <c r="F31" s="20">
        <v>696.4</v>
      </c>
      <c r="G31" s="21">
        <f>F31/Supuestos!$B$34</f>
      </c>
      <c r="H31" s="22">
        <v>7.03</v>
      </c>
      <c r="I31" s="6">
        <f>F31*H31</f>
      </c>
      <c r="J31" s="6">
        <f>I31/Supuestos!$B$34</f>
      </c>
    </row>
    <row r="32" spans="1:10" x14ac:dyDescent="0.25">
      <c r="A32" s="5" t="s">
        <v>124</v>
      </c>
      <c r="B32" s="5" t="s">
        <v>174</v>
      </c>
      <c r="C32" s="5" t="s">
        <v>185</v>
      </c>
      <c r="D32" s="5" t="s">
        <v>186</v>
      </c>
      <c r="E32" s="5" t="s">
        <v>136</v>
      </c>
      <c r="F32" s="20">
        <v>684</v>
      </c>
      <c r="G32" s="21">
        <f>F32/Supuestos!$B$34</f>
      </c>
      <c r="H32" s="22">
        <v>8.6</v>
      </c>
      <c r="I32" s="6">
        <f>F32*H32</f>
      </c>
      <c r="J32" s="6">
        <f>I32/Supuestos!$B$34</f>
      </c>
    </row>
    <row r="33" spans="1:10" x14ac:dyDescent="0.25">
      <c r="A33" s="5" t="s">
        <v>124</v>
      </c>
      <c r="B33" s="5" t="s">
        <v>174</v>
      </c>
      <c r="C33" s="5" t="s">
        <v>187</v>
      </c>
      <c r="D33" s="5" t="s">
        <v>188</v>
      </c>
      <c r="E33" s="5" t="s">
        <v>136</v>
      </c>
      <c r="F33" s="20">
        <v>156</v>
      </c>
      <c r="G33" s="21">
        <f>F33/Supuestos!$B$34</f>
      </c>
      <c r="H33" s="22">
        <v>12.22</v>
      </c>
      <c r="I33" s="6">
        <f>F33*H33</f>
      </c>
      <c r="J33" s="6">
        <f>I33/Supuestos!$B$34</f>
      </c>
    </row>
    <row r="34" spans="1:10" x14ac:dyDescent="0.25">
      <c r="A34" s="5" t="s">
        <v>124</v>
      </c>
      <c r="B34" s="5" t="s">
        <v>174</v>
      </c>
      <c r="C34" s="5" t="s">
        <v>189</v>
      </c>
      <c r="D34" s="5" t="s">
        <v>190</v>
      </c>
      <c r="E34" s="5" t="s">
        <v>136</v>
      </c>
      <c r="F34" s="20">
        <v>1128.8</v>
      </c>
      <c r="G34" s="21">
        <f>F34/Supuestos!$B$34</f>
      </c>
      <c r="H34" s="22">
        <v>12.49</v>
      </c>
      <c r="I34" s="6">
        <f>F34*H34</f>
      </c>
      <c r="J34" s="6">
        <f>I34/Supuestos!$B$34</f>
      </c>
    </row>
    <row r="35" spans="1:10" x14ac:dyDescent="0.25">
      <c r="A35" s="5" t="s">
        <v>124</v>
      </c>
      <c r="B35" s="5" t="s">
        <v>174</v>
      </c>
      <c r="C35" s="5" t="s">
        <v>191</v>
      </c>
      <c r="D35" s="5" t="s">
        <v>192</v>
      </c>
      <c r="E35" s="5" t="s">
        <v>136</v>
      </c>
      <c r="F35" s="20">
        <v>2664.64</v>
      </c>
      <c r="G35" s="21">
        <f>F35/Supuestos!$B$34</f>
      </c>
      <c r="H35" s="22">
        <v>14.8</v>
      </c>
      <c r="I35" s="6">
        <f>F35*H35</f>
      </c>
      <c r="J35" s="6">
        <f>I35/Supuestos!$B$34</f>
      </c>
    </row>
    <row r="36" spans="1:10" x14ac:dyDescent="0.25">
      <c r="A36" s="5" t="s">
        <v>124</v>
      </c>
      <c r="B36" s="5" t="s">
        <v>174</v>
      </c>
      <c r="C36" s="5" t="s">
        <v>193</v>
      </c>
      <c r="D36" s="5" t="s">
        <v>194</v>
      </c>
      <c r="E36" s="5" t="s">
        <v>136</v>
      </c>
      <c r="F36" s="20">
        <v>1211.55</v>
      </c>
      <c r="G36" s="21">
        <f>F36/Supuestos!$B$34</f>
      </c>
      <c r="H36" s="22">
        <v>14.8</v>
      </c>
      <c r="I36" s="6">
        <f>F36*H36</f>
      </c>
      <c r="J36" s="6">
        <f>I36/Supuestos!$B$34</f>
      </c>
    </row>
    <row r="37" spans="1:10" x14ac:dyDescent="0.25">
      <c r="A37" s="5" t="s">
        <v>124</v>
      </c>
      <c r="B37" s="5" t="s">
        <v>195</v>
      </c>
      <c r="C37" s="5" t="s">
        <v>196</v>
      </c>
      <c r="D37" s="5" t="s">
        <v>197</v>
      </c>
      <c r="E37" s="5" t="s">
        <v>136</v>
      </c>
      <c r="F37" s="20">
        <v>3106.87</v>
      </c>
      <c r="G37" s="21">
        <f>F37/Supuestos!$B$34</f>
      </c>
      <c r="H37" s="22">
        <v>31.85</v>
      </c>
      <c r="I37" s="6">
        <f>F37*H37</f>
      </c>
      <c r="J37" s="6">
        <f>I37/Supuestos!$B$34</f>
      </c>
    </row>
    <row r="38" spans="1:10" x14ac:dyDescent="0.25">
      <c r="A38" s="5" t="s">
        <v>198</v>
      </c>
      <c r="B38" s="5" t="s">
        <v>125</v>
      </c>
      <c r="C38" s="5" t="s">
        <v>199</v>
      </c>
      <c r="D38" s="5" t="s">
        <v>200</v>
      </c>
      <c r="E38" s="5" t="s">
        <v>128</v>
      </c>
      <c r="F38" s="20">
        <v>172</v>
      </c>
      <c r="G38" s="21">
        <f>F38/Supuestos!$B$34</f>
      </c>
      <c r="H38" s="22">
        <v>31.02</v>
      </c>
      <c r="I38" s="6">
        <f>F38*H38</f>
      </c>
      <c r="J38" s="6">
        <f>I38/Supuestos!$B$34</f>
      </c>
    </row>
    <row r="39" spans="1:10" x14ac:dyDescent="0.25">
      <c r="A39" s="5" t="s">
        <v>198</v>
      </c>
      <c r="B39" s="5" t="s">
        <v>125</v>
      </c>
      <c r="C39" s="5" t="s">
        <v>201</v>
      </c>
      <c r="D39" s="5" t="s">
        <v>202</v>
      </c>
      <c r="E39" s="5" t="s">
        <v>128</v>
      </c>
      <c r="F39" s="20">
        <v>163.2</v>
      </c>
      <c r="G39" s="21">
        <f>F39/Supuestos!$B$34</f>
      </c>
      <c r="H39" s="22">
        <v>23.47</v>
      </c>
      <c r="I39" s="6">
        <f>F39*H39</f>
      </c>
      <c r="J39" s="6">
        <f>I39/Supuestos!$B$34</f>
      </c>
    </row>
    <row r="40" spans="1:10" x14ac:dyDescent="0.25">
      <c r="A40" s="5" t="s">
        <v>198</v>
      </c>
      <c r="B40" s="5" t="s">
        <v>174</v>
      </c>
      <c r="C40" s="5" t="s">
        <v>203</v>
      </c>
      <c r="D40" s="5" t="s">
        <v>204</v>
      </c>
      <c r="E40" s="5" t="s">
        <v>136</v>
      </c>
      <c r="F40" s="20">
        <v>367.65</v>
      </c>
      <c r="G40" s="21">
        <f>F40/Supuestos!$B$34</f>
      </c>
      <c r="H40" s="22">
        <v>24.94</v>
      </c>
      <c r="I40" s="6">
        <f>F40*H40</f>
      </c>
      <c r="J40" s="6">
        <f>I40/Supuestos!$B$34</f>
      </c>
    </row>
    <row r="41" spans="1:10" x14ac:dyDescent="0.25">
      <c r="A41" s="5" t="s">
        <v>198</v>
      </c>
      <c r="B41" s="5" t="s">
        <v>174</v>
      </c>
      <c r="C41" s="5" t="s">
        <v>205</v>
      </c>
      <c r="D41" s="5" t="s">
        <v>206</v>
      </c>
      <c r="E41" s="5" t="s">
        <v>136</v>
      </c>
      <c r="F41" s="20">
        <v>1429.65</v>
      </c>
      <c r="G41" s="21">
        <f>F41/Supuestos!$B$34</f>
      </c>
      <c r="H41" s="22">
        <v>3.09</v>
      </c>
      <c r="I41" s="6">
        <f>F41*H41</f>
      </c>
      <c r="J41" s="6">
        <f>I41/Supuestos!$B$34</f>
      </c>
    </row>
    <row r="42" spans="1:10" x14ac:dyDescent="0.25">
      <c r="A42" s="5" t="s">
        <v>198</v>
      </c>
      <c r="B42" s="5" t="s">
        <v>195</v>
      </c>
      <c r="C42" s="5" t="s">
        <v>207</v>
      </c>
      <c r="D42" s="5" t="s">
        <v>208</v>
      </c>
      <c r="E42" s="5" t="s">
        <v>136</v>
      </c>
      <c r="F42" s="20">
        <v>2089.54</v>
      </c>
      <c r="G42" s="21">
        <f>F42/Supuestos!$B$34</f>
      </c>
      <c r="H42" s="22">
        <v>29.94</v>
      </c>
      <c r="I42" s="6">
        <f>F42*H42</f>
      </c>
      <c r="J42" s="6">
        <f>I42/Supuestos!$B$34</f>
      </c>
    </row>
    <row r="43" spans="1:10" x14ac:dyDescent="0.25">
      <c r="A43" s="5" t="s">
        <v>198</v>
      </c>
      <c r="B43" s="5" t="s">
        <v>195</v>
      </c>
      <c r="C43" s="5" t="s">
        <v>209</v>
      </c>
      <c r="D43" s="5" t="s">
        <v>210</v>
      </c>
      <c r="E43" s="5" t="s">
        <v>136</v>
      </c>
      <c r="F43" s="20">
        <v>359.2</v>
      </c>
      <c r="G43" s="21">
        <f>F43/Supuestos!$B$34</f>
      </c>
      <c r="H43" s="22">
        <v>31.34</v>
      </c>
      <c r="I43" s="6">
        <f>F43*H43</f>
      </c>
      <c r="J43" s="6">
        <f>I43/Supuestos!$B$34</f>
      </c>
    </row>
    <row r="44" spans="1:10" x14ac:dyDescent="0.25">
      <c r="A44" s="5" t="s">
        <v>198</v>
      </c>
      <c r="B44" s="5" t="s">
        <v>195</v>
      </c>
      <c r="C44" s="5" t="s">
        <v>211</v>
      </c>
      <c r="D44" s="5" t="s">
        <v>212</v>
      </c>
      <c r="E44" s="5" t="s">
        <v>136</v>
      </c>
      <c r="F44" s="20">
        <v>202.55</v>
      </c>
      <c r="G44" s="21">
        <f>F44/Supuestos!$B$34</f>
      </c>
      <c r="H44" s="22">
        <v>8.2</v>
      </c>
      <c r="I44" s="6">
        <f>F44*H44</f>
      </c>
      <c r="J44" s="6">
        <f>I44/Supuestos!$B$34</f>
      </c>
    </row>
    <row r="45" spans="1:10" x14ac:dyDescent="0.25">
      <c r="A45" s="5" t="s">
        <v>198</v>
      </c>
      <c r="B45" s="5" t="s">
        <v>195</v>
      </c>
      <c r="C45" s="5" t="s">
        <v>213</v>
      </c>
      <c r="D45" s="5" t="s">
        <v>214</v>
      </c>
      <c r="E45" s="5" t="s">
        <v>136</v>
      </c>
      <c r="F45" s="20">
        <v>1504.05</v>
      </c>
      <c r="G45" s="21">
        <f>F45/Supuestos!$B$34</f>
      </c>
      <c r="H45" s="22">
        <v>27.74</v>
      </c>
      <c r="I45" s="6">
        <f>F45*H45</f>
      </c>
      <c r="J45" s="6">
        <f>I45/Supuestos!$B$34</f>
      </c>
    </row>
    <row r="46" spans="1:10" x14ac:dyDescent="0.25">
      <c r="A46" s="5" t="s">
        <v>198</v>
      </c>
      <c r="B46" s="5" t="s">
        <v>195</v>
      </c>
      <c r="C46" s="5" t="s">
        <v>215</v>
      </c>
      <c r="D46" s="5" t="s">
        <v>216</v>
      </c>
      <c r="E46" s="5" t="s">
        <v>136</v>
      </c>
      <c r="F46" s="20">
        <v>432.7</v>
      </c>
      <c r="G46" s="21">
        <f>F46/Supuestos!$B$34</f>
      </c>
      <c r="H46" s="22">
        <v>31.01</v>
      </c>
      <c r="I46" s="6">
        <f>F46*H46</f>
      </c>
      <c r="J46" s="6">
        <f>I46/Supuestos!$B$34</f>
      </c>
    </row>
    <row r="47" spans="1:10" x14ac:dyDescent="0.25">
      <c r="A47" s="5" t="s">
        <v>198</v>
      </c>
      <c r="B47" s="5" t="s">
        <v>195</v>
      </c>
      <c r="C47" s="5" t="s">
        <v>217</v>
      </c>
      <c r="D47" s="5" t="s">
        <v>218</v>
      </c>
      <c r="E47" s="5" t="s">
        <v>128</v>
      </c>
      <c r="F47" s="20">
        <v>116.5</v>
      </c>
      <c r="G47" s="21">
        <f>F47/Supuestos!$B$34</f>
      </c>
      <c r="H47" s="22">
        <v>20.41</v>
      </c>
      <c r="I47" s="6">
        <f>F47*H47</f>
      </c>
      <c r="J47" s="6">
        <f>I47/Supuestos!$B$34</f>
      </c>
    </row>
    <row r="48" spans="1:10" x14ac:dyDescent="0.25">
      <c r="A48" s="5" t="s">
        <v>198</v>
      </c>
      <c r="B48" s="5" t="s">
        <v>195</v>
      </c>
      <c r="C48" s="5" t="s">
        <v>219</v>
      </c>
      <c r="D48" s="5" t="s">
        <v>220</v>
      </c>
      <c r="E48" s="5" t="s">
        <v>136</v>
      </c>
      <c r="F48" s="20">
        <v>156</v>
      </c>
      <c r="G48" s="21">
        <f>F48/Supuestos!$B$34</f>
      </c>
      <c r="H48" s="22">
        <v>101.73</v>
      </c>
      <c r="I48" s="6">
        <f>F48*H48</f>
      </c>
      <c r="J48" s="6">
        <f>I48/Supuestos!$B$34</f>
      </c>
    </row>
    <row r="49" spans="1:10" x14ac:dyDescent="0.25">
      <c r="A49" s="5" t="s">
        <v>198</v>
      </c>
      <c r="B49" s="5" t="s">
        <v>195</v>
      </c>
      <c r="C49" s="5" t="s">
        <v>221</v>
      </c>
      <c r="D49" s="5" t="s">
        <v>222</v>
      </c>
      <c r="E49" s="5" t="s">
        <v>136</v>
      </c>
      <c r="F49" s="20">
        <v>34.56</v>
      </c>
      <c r="G49" s="21">
        <f>F49/Supuestos!$B$34</f>
      </c>
      <c r="H49" s="22">
        <v>77.61</v>
      </c>
      <c r="I49" s="6">
        <f>F49*H49</f>
      </c>
      <c r="J49" s="6">
        <f>I49/Supuestos!$B$34</f>
      </c>
    </row>
    <row r="50" spans="1:10" x14ac:dyDescent="0.25">
      <c r="A50" s="5" t="s">
        <v>198</v>
      </c>
      <c r="B50" s="5" t="s">
        <v>223</v>
      </c>
      <c r="C50" s="5" t="s">
        <v>224</v>
      </c>
      <c r="D50" s="5" t="s">
        <v>225</v>
      </c>
      <c r="E50" s="5" t="s">
        <v>136</v>
      </c>
      <c r="F50" s="20">
        <v>1416.19</v>
      </c>
      <c r="G50" s="21">
        <f>F50/Supuestos!$B$34</f>
      </c>
      <c r="H50" s="22">
        <v>26.61</v>
      </c>
      <c r="I50" s="6">
        <f>F50*H50</f>
      </c>
      <c r="J50" s="6">
        <f>I50/Supuestos!$B$34</f>
      </c>
    </row>
    <row r="51" spans="1:10" x14ac:dyDescent="0.25">
      <c r="A51" s="5" t="s">
        <v>198</v>
      </c>
      <c r="B51" s="5" t="s">
        <v>223</v>
      </c>
      <c r="C51" s="5" t="s">
        <v>226</v>
      </c>
      <c r="D51" s="5" t="s">
        <v>227</v>
      </c>
      <c r="E51" s="5" t="s">
        <v>136</v>
      </c>
      <c r="F51" s="20">
        <v>1429.65</v>
      </c>
      <c r="G51" s="21">
        <f>F51/Supuestos!$B$34</f>
      </c>
      <c r="H51" s="22">
        <v>36.32</v>
      </c>
      <c r="I51" s="6">
        <f>F51*H51</f>
      </c>
      <c r="J51" s="6">
        <f>I51/Supuestos!$B$34</f>
      </c>
    </row>
    <row r="52" spans="1:10" x14ac:dyDescent="0.25">
      <c r="A52" s="5" t="s">
        <v>198</v>
      </c>
      <c r="B52" s="5" t="s">
        <v>223</v>
      </c>
      <c r="C52" s="5" t="s">
        <v>228</v>
      </c>
      <c r="D52" s="5" t="s">
        <v>229</v>
      </c>
      <c r="E52" s="5" t="s">
        <v>128</v>
      </c>
      <c r="F52" s="20">
        <v>26.4</v>
      </c>
      <c r="G52" s="21">
        <f>F52/Supuestos!$B$34</f>
      </c>
      <c r="H52" s="22">
        <v>47.92</v>
      </c>
      <c r="I52" s="6">
        <f>F52*H52</f>
      </c>
      <c r="J52" s="6">
        <f>I52/Supuestos!$B$34</f>
      </c>
    </row>
    <row r="53" spans="1:10" x14ac:dyDescent="0.25">
      <c r="A53" s="5" t="s">
        <v>198</v>
      </c>
      <c r="B53" s="5" t="s">
        <v>223</v>
      </c>
      <c r="C53" s="5" t="s">
        <v>230</v>
      </c>
      <c r="D53" s="5" t="s">
        <v>231</v>
      </c>
      <c r="E53" s="5" t="s">
        <v>128</v>
      </c>
      <c r="F53" s="20">
        <v>60.8</v>
      </c>
      <c r="G53" s="21">
        <f>F53/Supuestos!$B$34</f>
      </c>
      <c r="H53" s="22">
        <v>31.88</v>
      </c>
      <c r="I53" s="6">
        <f>F53*H53</f>
      </c>
      <c r="J53" s="6">
        <f>I53/Supuestos!$B$34</f>
      </c>
    </row>
    <row r="54" spans="1:10" x14ac:dyDescent="0.25">
      <c r="A54" s="5" t="s">
        <v>198</v>
      </c>
      <c r="B54" s="5" t="s">
        <v>223</v>
      </c>
      <c r="C54" s="5" t="s">
        <v>232</v>
      </c>
      <c r="D54" s="5" t="s">
        <v>233</v>
      </c>
      <c r="E54" s="5" t="s">
        <v>136</v>
      </c>
      <c r="F54" s="20">
        <v>432.7</v>
      </c>
      <c r="G54" s="21">
        <f>F54/Supuestos!$B$34</f>
      </c>
      <c r="H54" s="22">
        <v>35.97</v>
      </c>
      <c r="I54" s="6">
        <f>F54*H54</f>
      </c>
      <c r="J54" s="6">
        <f>I54/Supuestos!$B$34</f>
      </c>
    </row>
    <row r="55" spans="1:10" x14ac:dyDescent="0.25">
      <c r="A55" s="5" t="s">
        <v>198</v>
      </c>
      <c r="B55" s="5" t="s">
        <v>223</v>
      </c>
      <c r="C55" s="5" t="s">
        <v>234</v>
      </c>
      <c r="D55" s="5" t="s">
        <v>235</v>
      </c>
      <c r="E55" s="5" t="s">
        <v>136</v>
      </c>
      <c r="F55" s="20">
        <v>144</v>
      </c>
      <c r="G55" s="21">
        <f>F55/Supuestos!$B$34</f>
      </c>
      <c r="H55" s="22">
        <v>42.95</v>
      </c>
      <c r="I55" s="6">
        <f>F55*H55</f>
      </c>
      <c r="J55" s="6">
        <f>I55/Supuestos!$B$34</f>
      </c>
    </row>
    <row r="56" spans="1:10" x14ac:dyDescent="0.25">
      <c r="A56" s="5" t="s">
        <v>198</v>
      </c>
      <c r="B56" s="5" t="s">
        <v>223</v>
      </c>
      <c r="C56" s="5" t="s">
        <v>236</v>
      </c>
      <c r="D56" s="5" t="s">
        <v>237</v>
      </c>
      <c r="E56" s="5" t="s">
        <v>128</v>
      </c>
      <c r="F56" s="20">
        <v>336</v>
      </c>
      <c r="G56" s="21">
        <f>F56/Supuestos!$B$34</f>
      </c>
      <c r="H56" s="22">
        <v>28.08</v>
      </c>
      <c r="I56" s="6">
        <f>F56*H56</f>
      </c>
      <c r="J56" s="6">
        <f>I56/Supuestos!$B$34</f>
      </c>
    </row>
    <row r="57" spans="1:10" x14ac:dyDescent="0.25">
      <c r="A57" s="5" t="s">
        <v>198</v>
      </c>
      <c r="B57" s="5" t="s">
        <v>223</v>
      </c>
      <c r="C57" s="5" t="s">
        <v>238</v>
      </c>
      <c r="D57" s="5" t="s">
        <v>239</v>
      </c>
      <c r="E57" s="5" t="s">
        <v>128</v>
      </c>
      <c r="F57" s="20">
        <v>120</v>
      </c>
      <c r="G57" s="21">
        <f>F57/Supuestos!$B$34</f>
      </c>
      <c r="H57" s="22">
        <v>31.86</v>
      </c>
      <c r="I57" s="6">
        <f>F57*H57</f>
      </c>
      <c r="J57" s="6">
        <f>I57/Supuestos!$B$34</f>
      </c>
    </row>
    <row r="58" spans="1:10" x14ac:dyDescent="0.25">
      <c r="A58" s="5" t="s">
        <v>198</v>
      </c>
      <c r="B58" s="5" t="s">
        <v>223</v>
      </c>
      <c r="C58" s="5" t="s">
        <v>240</v>
      </c>
      <c r="D58" s="5" t="s">
        <v>241</v>
      </c>
      <c r="E58" s="5" t="s">
        <v>128</v>
      </c>
      <c r="F58" s="20">
        <v>467.15</v>
      </c>
      <c r="G58" s="21">
        <f>F58/Supuestos!$B$34</f>
      </c>
      <c r="H58" s="22">
        <v>22.99</v>
      </c>
      <c r="I58" s="6">
        <f>F58*H58</f>
      </c>
      <c r="J58" s="6">
        <f>I58/Supuestos!$B$34</f>
      </c>
    </row>
    <row r="59" spans="1:10" x14ac:dyDescent="0.25">
      <c r="A59" s="5" t="s">
        <v>198</v>
      </c>
      <c r="B59" s="5" t="s">
        <v>223</v>
      </c>
      <c r="C59" s="5" t="s">
        <v>242</v>
      </c>
      <c r="D59" s="5" t="s">
        <v>243</v>
      </c>
      <c r="E59" s="5" t="s">
        <v>136</v>
      </c>
      <c r="F59" s="20">
        <v>497.68</v>
      </c>
      <c r="G59" s="21">
        <f>F59/Supuestos!$B$34</f>
      </c>
      <c r="H59" s="22">
        <v>48.34</v>
      </c>
      <c r="I59" s="6">
        <f>F59*H59</f>
      </c>
      <c r="J59" s="6">
        <f>I59/Supuestos!$B$34</f>
      </c>
    </row>
    <row r="60" spans="1:10" x14ac:dyDescent="0.25">
      <c r="A60" s="5" t="s">
        <v>198</v>
      </c>
      <c r="B60" s="5" t="s">
        <v>244</v>
      </c>
      <c r="C60" s="5" t="s">
        <v>245</v>
      </c>
      <c r="D60" s="5" t="s">
        <v>246</v>
      </c>
      <c r="E60" s="5" t="s">
        <v>118</v>
      </c>
      <c r="F60" s="20">
        <v>112</v>
      </c>
      <c r="G60" s="21">
        <f>F60/Supuestos!$B$34</f>
      </c>
      <c r="H60" s="22">
        <v>221.56</v>
      </c>
      <c r="I60" s="6">
        <f>F60*H60</f>
      </c>
      <c r="J60" s="6">
        <f>I60/Supuestos!$B$34</f>
      </c>
    </row>
    <row r="61" spans="1:10" x14ac:dyDescent="0.25">
      <c r="A61" s="5" t="s">
        <v>198</v>
      </c>
      <c r="B61" s="5" t="s">
        <v>244</v>
      </c>
      <c r="C61" s="5" t="s">
        <v>247</v>
      </c>
      <c r="D61" s="5" t="s">
        <v>248</v>
      </c>
      <c r="E61" s="5" t="s">
        <v>136</v>
      </c>
      <c r="F61" s="20">
        <v>47.4</v>
      </c>
      <c r="G61" s="21">
        <f>F61/Supuestos!$B$34</f>
      </c>
      <c r="H61" s="22">
        <v>143.1</v>
      </c>
      <c r="I61" s="6">
        <f>F61*H61</f>
      </c>
      <c r="J61" s="6">
        <f>I61/Supuestos!$B$34</f>
      </c>
    </row>
    <row r="62" spans="1:10" x14ac:dyDescent="0.25">
      <c r="A62" s="5" t="s">
        <v>198</v>
      </c>
      <c r="B62" s="5" t="s">
        <v>244</v>
      </c>
      <c r="C62" s="5" t="s">
        <v>249</v>
      </c>
      <c r="D62" s="5" t="s">
        <v>250</v>
      </c>
      <c r="E62" s="5" t="s">
        <v>136</v>
      </c>
      <c r="F62" s="20">
        <v>188.28</v>
      </c>
      <c r="G62" s="21">
        <f>F62/Supuestos!$B$34</f>
      </c>
      <c r="H62" s="22">
        <v>105.8</v>
      </c>
      <c r="I62" s="6">
        <f>F62*H62</f>
      </c>
      <c r="J62" s="6">
        <f>I62/Supuestos!$B$34</f>
      </c>
    </row>
    <row r="63" spans="1:10" x14ac:dyDescent="0.25">
      <c r="A63" s="5" t="s">
        <v>198</v>
      </c>
      <c r="B63" s="5" t="s">
        <v>244</v>
      </c>
      <c r="C63" s="5" t="s">
        <v>251</v>
      </c>
      <c r="D63" s="5" t="s">
        <v>252</v>
      </c>
      <c r="E63" s="5" t="s">
        <v>128</v>
      </c>
      <c r="F63" s="20">
        <v>1621.25</v>
      </c>
      <c r="G63" s="21">
        <f>F63/Supuestos!$B$34</f>
      </c>
      <c r="H63" s="22">
        <v>6.95</v>
      </c>
      <c r="I63" s="6">
        <f>F63*H63</f>
      </c>
      <c r="J63" s="6">
        <f>I63/Supuestos!$B$34</f>
      </c>
    </row>
    <row r="64" spans="1:10" x14ac:dyDescent="0.25">
      <c r="A64" s="5" t="s">
        <v>198</v>
      </c>
      <c r="B64" s="5" t="s">
        <v>253</v>
      </c>
      <c r="C64" s="5" t="s">
        <v>254</v>
      </c>
      <c r="D64" s="5" t="s">
        <v>255</v>
      </c>
      <c r="E64" s="5" t="s">
        <v>118</v>
      </c>
      <c r="F64" s="20">
        <v>16</v>
      </c>
      <c r="G64" s="21">
        <f>F64/Supuestos!$B$34</f>
      </c>
      <c r="H64" s="22">
        <v>1140.81</v>
      </c>
      <c r="I64" s="6">
        <f>F64*H64</f>
      </c>
      <c r="J64" s="6">
        <f>I64/Supuestos!$B$34</f>
      </c>
    </row>
    <row r="65" spans="1:10" x14ac:dyDescent="0.25">
      <c r="A65" s="5" t="s">
        <v>198</v>
      </c>
      <c r="B65" s="5" t="s">
        <v>253</v>
      </c>
      <c r="C65" s="5" t="s">
        <v>256</v>
      </c>
      <c r="D65" s="5" t="s">
        <v>257</v>
      </c>
      <c r="E65" s="5" t="s">
        <v>118</v>
      </c>
      <c r="F65" s="20">
        <v>16</v>
      </c>
      <c r="G65" s="21">
        <f>F65/Supuestos!$B$34</f>
      </c>
      <c r="H65" s="22">
        <v>240.87</v>
      </c>
      <c r="I65" s="6">
        <f>F65*H65</f>
      </c>
      <c r="J65" s="6">
        <f>I65/Supuestos!$B$34</f>
      </c>
    </row>
    <row r="66" spans="1:10" x14ac:dyDescent="0.25">
      <c r="A66" s="5" t="s">
        <v>198</v>
      </c>
      <c r="B66" s="5" t="s">
        <v>253</v>
      </c>
      <c r="C66" s="5" t="s">
        <v>258</v>
      </c>
      <c r="D66" s="5" t="s">
        <v>259</v>
      </c>
      <c r="E66" s="5" t="s">
        <v>118</v>
      </c>
      <c r="F66" s="20">
        <v>16</v>
      </c>
      <c r="G66" s="21">
        <f>F66/Supuestos!$B$34</f>
      </c>
      <c r="H66" s="22">
        <v>1335.55</v>
      </c>
      <c r="I66" s="6">
        <f>F66*H66</f>
      </c>
      <c r="J66" s="6">
        <f>I66/Supuestos!$B$34</f>
      </c>
    </row>
    <row r="67" spans="1:10" x14ac:dyDescent="0.25">
      <c r="A67" s="5" t="s">
        <v>198</v>
      </c>
      <c r="B67" s="5" t="s">
        <v>253</v>
      </c>
      <c r="C67" s="5" t="s">
        <v>260</v>
      </c>
      <c r="D67" s="5" t="s">
        <v>261</v>
      </c>
      <c r="E67" s="5" t="s">
        <v>118</v>
      </c>
      <c r="F67" s="20">
        <v>16</v>
      </c>
      <c r="G67" s="21">
        <f>F67/Supuestos!$B$34</f>
      </c>
      <c r="H67" s="22">
        <v>1266.9</v>
      </c>
      <c r="I67" s="6">
        <f>F67*H67</f>
      </c>
      <c r="J67" s="6">
        <f>I67/Supuestos!$B$34</f>
      </c>
    </row>
    <row r="68" spans="1:10" x14ac:dyDescent="0.25">
      <c r="A68" s="5" t="s">
        <v>198</v>
      </c>
      <c r="B68" s="5" t="s">
        <v>253</v>
      </c>
      <c r="C68" s="5" t="s">
        <v>262</v>
      </c>
      <c r="D68" s="5" t="s">
        <v>263</v>
      </c>
      <c r="E68" s="5" t="s">
        <v>118</v>
      </c>
      <c r="F68" s="20">
        <v>16</v>
      </c>
      <c r="G68" s="21">
        <f>F68/Supuestos!$B$34</f>
      </c>
      <c r="H68" s="22">
        <v>1300.09</v>
      </c>
      <c r="I68" s="6">
        <f>F68*H68</f>
      </c>
      <c r="J68" s="6">
        <f>I68/Supuestos!$B$34</f>
      </c>
    </row>
    <row r="69" spans="1:10" x14ac:dyDescent="0.25">
      <c r="A69" s="5" t="s">
        <v>198</v>
      </c>
      <c r="B69" s="5" t="s">
        <v>253</v>
      </c>
      <c r="C69" s="5" t="s">
        <v>264</v>
      </c>
      <c r="D69" s="5" t="s">
        <v>265</v>
      </c>
      <c r="E69" s="5" t="s">
        <v>118</v>
      </c>
      <c r="F69" s="20">
        <v>16</v>
      </c>
      <c r="G69" s="21">
        <f>F69/Supuestos!$B$34</f>
      </c>
      <c r="H69" s="22">
        <v>315.83</v>
      </c>
      <c r="I69" s="6">
        <f>F69*H69</f>
      </c>
      <c r="J69" s="6">
        <f>I69/Supuestos!$B$34</f>
      </c>
    </row>
    <row r="70" spans="1:10" x14ac:dyDescent="0.25">
      <c r="A70" s="5" t="s">
        <v>198</v>
      </c>
      <c r="B70" s="5" t="s">
        <v>253</v>
      </c>
      <c r="C70" s="5" t="s">
        <v>266</v>
      </c>
      <c r="D70" s="5" t="s">
        <v>267</v>
      </c>
      <c r="E70" s="5" t="s">
        <v>118</v>
      </c>
      <c r="F70" s="20">
        <v>16</v>
      </c>
      <c r="G70" s="21">
        <f>F70/Supuestos!$B$34</f>
      </c>
      <c r="H70" s="22">
        <v>597.76</v>
      </c>
      <c r="I70" s="6">
        <f>F70*H70</f>
      </c>
      <c r="J70" s="6">
        <f>I70/Supuestos!$B$34</f>
      </c>
    </row>
    <row r="71" spans="1:10" x14ac:dyDescent="0.25">
      <c r="A71" s="5" t="s">
        <v>198</v>
      </c>
      <c r="B71" s="5" t="s">
        <v>253</v>
      </c>
      <c r="C71" s="5" t="s">
        <v>268</v>
      </c>
      <c r="D71" s="5" t="s">
        <v>269</v>
      </c>
      <c r="E71" s="5" t="s">
        <v>118</v>
      </c>
      <c r="F71" s="20">
        <v>48</v>
      </c>
      <c r="G71" s="21">
        <f>F71/Supuestos!$B$34</f>
      </c>
      <c r="H71" s="22">
        <v>737.34</v>
      </c>
      <c r="I71" s="6">
        <f>F71*H71</f>
      </c>
      <c r="J71" s="6">
        <f>I71/Supuestos!$B$34</f>
      </c>
    </row>
    <row r="72" spans="1:10" x14ac:dyDescent="0.25">
      <c r="A72" s="5" t="s">
        <v>198</v>
      </c>
      <c r="B72" s="5" t="s">
        <v>253</v>
      </c>
      <c r="C72" s="5" t="s">
        <v>270</v>
      </c>
      <c r="D72" s="5" t="s">
        <v>271</v>
      </c>
      <c r="E72" s="5" t="s">
        <v>118</v>
      </c>
      <c r="F72" s="20">
        <v>32</v>
      </c>
      <c r="G72" s="21">
        <f>F72/Supuestos!$B$34</f>
      </c>
      <c r="H72" s="22">
        <v>323.91</v>
      </c>
      <c r="I72" s="6">
        <f>F72*H72</f>
      </c>
      <c r="J72" s="6">
        <f>I72/Supuestos!$B$34</f>
      </c>
    </row>
    <row r="73" spans="1:10" x14ac:dyDescent="0.25">
      <c r="A73" s="5" t="s">
        <v>198</v>
      </c>
      <c r="B73" s="5" t="s">
        <v>253</v>
      </c>
      <c r="C73" s="5" t="s">
        <v>272</v>
      </c>
      <c r="D73" s="5" t="s">
        <v>273</v>
      </c>
      <c r="E73" s="5" t="s">
        <v>118</v>
      </c>
      <c r="F73" s="20">
        <v>2</v>
      </c>
      <c r="G73" s="21">
        <f>F73/Supuestos!$B$34</f>
      </c>
      <c r="H73" s="22">
        <v>351.65</v>
      </c>
      <c r="I73" s="6">
        <f>F73*H73</f>
      </c>
      <c r="J73" s="6">
        <f>I73/Supuestos!$B$34</f>
      </c>
    </row>
    <row r="74" spans="1:10" x14ac:dyDescent="0.25">
      <c r="A74" s="5" t="s">
        <v>198</v>
      </c>
      <c r="B74" s="5" t="s">
        <v>253</v>
      </c>
      <c r="C74" s="5" t="s">
        <v>274</v>
      </c>
      <c r="D74" s="5" t="s">
        <v>275</v>
      </c>
      <c r="E74" s="5" t="s">
        <v>118</v>
      </c>
      <c r="F74" s="20">
        <v>2</v>
      </c>
      <c r="G74" s="21">
        <f>F74/Supuestos!$B$34</f>
      </c>
      <c r="H74" s="22">
        <v>408.37</v>
      </c>
      <c r="I74" s="6">
        <f>F74*H74</f>
      </c>
      <c r="J74" s="6">
        <f>I74/Supuestos!$B$34</f>
      </c>
    </row>
    <row r="75" spans="1:10" x14ac:dyDescent="0.25">
      <c r="A75" s="5" t="s">
        <v>198</v>
      </c>
      <c r="B75" s="5" t="s">
        <v>253</v>
      </c>
      <c r="C75" s="5" t="s">
        <v>276</v>
      </c>
      <c r="D75" s="5" t="s">
        <v>277</v>
      </c>
      <c r="E75" s="5" t="s">
        <v>128</v>
      </c>
      <c r="F75" s="20">
        <v>926.4</v>
      </c>
      <c r="G75" s="21">
        <f>F75/Supuestos!$B$34</f>
      </c>
      <c r="H75" s="22">
        <v>29.03</v>
      </c>
      <c r="I75" s="6">
        <f>F75*H75</f>
      </c>
      <c r="J75" s="6">
        <f>I75/Supuestos!$B$34</f>
      </c>
    </row>
    <row r="76" spans="1:10" x14ac:dyDescent="0.25">
      <c r="A76" s="5" t="s">
        <v>198</v>
      </c>
      <c r="B76" s="5" t="s">
        <v>253</v>
      </c>
      <c r="C76" s="5" t="s">
        <v>278</v>
      </c>
      <c r="D76" s="5" t="s">
        <v>279</v>
      </c>
      <c r="E76" s="5" t="s">
        <v>128</v>
      </c>
      <c r="F76" s="20">
        <v>113.85</v>
      </c>
      <c r="G76" s="21">
        <f>F76/Supuestos!$B$34</f>
      </c>
      <c r="H76" s="22">
        <v>197.86</v>
      </c>
      <c r="I76" s="6">
        <f>F76*H76</f>
      </c>
      <c r="J76" s="6">
        <f>I76/Supuestos!$B$34</f>
      </c>
    </row>
    <row r="77" spans="1:10" x14ac:dyDescent="0.25">
      <c r="A77" s="5" t="s">
        <v>198</v>
      </c>
      <c r="B77" s="5" t="s">
        <v>253</v>
      </c>
      <c r="C77" s="5" t="s">
        <v>280</v>
      </c>
      <c r="D77" s="5" t="s">
        <v>281</v>
      </c>
      <c r="E77" s="5" t="s">
        <v>118</v>
      </c>
      <c r="F77" s="20">
        <v>16</v>
      </c>
      <c r="G77" s="21">
        <f>F77/Supuestos!$B$34</f>
      </c>
      <c r="H77" s="22">
        <v>135.82</v>
      </c>
      <c r="I77" s="6">
        <f>F77*H77</f>
      </c>
      <c r="J77" s="6">
        <f>I77/Supuestos!$B$34</f>
      </c>
    </row>
    <row r="78" spans="1:10" x14ac:dyDescent="0.25">
      <c r="A78" s="5" t="s">
        <v>198</v>
      </c>
      <c r="B78" s="5" t="s">
        <v>282</v>
      </c>
      <c r="C78" s="5" t="s">
        <v>283</v>
      </c>
      <c r="D78" s="5" t="s">
        <v>284</v>
      </c>
      <c r="E78" s="5" t="s">
        <v>136</v>
      </c>
      <c r="F78" s="20">
        <v>4697.94</v>
      </c>
      <c r="G78" s="21">
        <f>F78/Supuestos!$B$34</f>
      </c>
      <c r="H78" s="22">
        <v>8.11</v>
      </c>
      <c r="I78" s="6">
        <f>F78*H78</f>
      </c>
      <c r="J78" s="6">
        <f>I78/Supuestos!$B$34</f>
      </c>
    </row>
    <row r="79" spans="1:10" x14ac:dyDescent="0.25">
      <c r="A79" s="5" t="s">
        <v>198</v>
      </c>
      <c r="B79" s="5" t="s">
        <v>282</v>
      </c>
      <c r="C79" s="5" t="s">
        <v>285</v>
      </c>
      <c r="D79" s="5" t="s">
        <v>286</v>
      </c>
      <c r="E79" s="5" t="s">
        <v>136</v>
      </c>
      <c r="F79" s="20">
        <v>2092.75</v>
      </c>
      <c r="G79" s="21">
        <f>F79/Supuestos!$B$34</f>
      </c>
      <c r="H79" s="22">
        <v>10.45</v>
      </c>
      <c r="I79" s="6">
        <f>F79*H79</f>
      </c>
      <c r="J79" s="6">
        <f>I79/Supuestos!$B$34</f>
      </c>
    </row>
    <row r="80" spans="1:10" x14ac:dyDescent="0.25">
      <c r="A80" s="5" t="s">
        <v>198</v>
      </c>
      <c r="B80" s="5" t="s">
        <v>287</v>
      </c>
      <c r="C80" s="5" t="s">
        <v>288</v>
      </c>
      <c r="D80" s="5" t="s">
        <v>289</v>
      </c>
      <c r="E80" s="5" t="s">
        <v>118</v>
      </c>
      <c r="F80" s="20">
        <v>34</v>
      </c>
      <c r="G80" s="21">
        <f>F80/Supuestos!$B$34</f>
      </c>
      <c r="H80" s="22">
        <v>101.61</v>
      </c>
      <c r="I80" s="6">
        <f>F80*H80</f>
      </c>
      <c r="J80" s="6">
        <f>I80/Supuestos!$B$34</f>
      </c>
    </row>
    <row r="81" spans="1:10" x14ac:dyDescent="0.25">
      <c r="A81" s="5" t="s">
        <v>198</v>
      </c>
      <c r="B81" s="5" t="s">
        <v>287</v>
      </c>
      <c r="C81" s="5" t="s">
        <v>290</v>
      </c>
      <c r="D81" s="5" t="s">
        <v>291</v>
      </c>
      <c r="E81" s="5" t="s">
        <v>118</v>
      </c>
      <c r="F81" s="20">
        <v>16</v>
      </c>
      <c r="G81" s="21">
        <f>F81/Supuestos!$B$34</f>
      </c>
      <c r="H81" s="22">
        <v>1170.53</v>
      </c>
      <c r="I81" s="6">
        <f>F81*H81</f>
      </c>
      <c r="J81" s="6">
        <f>I81/Supuestos!$B$34</f>
      </c>
    </row>
    <row r="82" spans="1:10" x14ac:dyDescent="0.25">
      <c r="A82" s="5" t="s">
        <v>198</v>
      </c>
      <c r="B82" s="5" t="s">
        <v>287</v>
      </c>
      <c r="C82" s="5" t="s">
        <v>292</v>
      </c>
      <c r="D82" s="5" t="s">
        <v>293</v>
      </c>
      <c r="E82" s="5" t="s">
        <v>118</v>
      </c>
      <c r="F82" s="20">
        <v>16</v>
      </c>
      <c r="G82" s="21">
        <f>F82/Supuestos!$B$34</f>
      </c>
      <c r="H82" s="22">
        <v>2937.18</v>
      </c>
      <c r="I82" s="6">
        <f>F82*H82</f>
      </c>
      <c r="J82" s="6">
        <f>I82/Supuestos!$B$34</f>
      </c>
    </row>
    <row r="83" spans="1:10" x14ac:dyDescent="0.25">
      <c r="A83" s="5" t="s">
        <v>198</v>
      </c>
      <c r="B83" s="5" t="s">
        <v>287</v>
      </c>
      <c r="C83" s="5" t="s">
        <v>294</v>
      </c>
      <c r="D83" s="5" t="s">
        <v>295</v>
      </c>
      <c r="E83" s="5" t="s">
        <v>118</v>
      </c>
      <c r="F83" s="20">
        <v>48</v>
      </c>
      <c r="G83" s="21">
        <f>F83/Supuestos!$B$34</f>
      </c>
      <c r="H83" s="22">
        <v>38.34</v>
      </c>
      <c r="I83" s="6">
        <f>F83*H83</f>
      </c>
      <c r="J83" s="6">
        <f>I83/Supuestos!$B$34</f>
      </c>
    </row>
    <row r="84" spans="1:10" x14ac:dyDescent="0.25">
      <c r="A84" s="5" t="s">
        <v>198</v>
      </c>
      <c r="B84" s="5" t="s">
        <v>287</v>
      </c>
      <c r="C84" s="5" t="s">
        <v>296</v>
      </c>
      <c r="D84" s="5" t="s">
        <v>297</v>
      </c>
      <c r="E84" s="5" t="s">
        <v>118</v>
      </c>
      <c r="F84" s="20">
        <v>17</v>
      </c>
      <c r="G84" s="21">
        <f>F84/Supuestos!$B$34</f>
      </c>
      <c r="H84" s="22">
        <v>118.37</v>
      </c>
      <c r="I84" s="6">
        <f>F84*H84</f>
      </c>
      <c r="J84" s="6">
        <f>I84/Supuestos!$B$34</f>
      </c>
    </row>
    <row r="85" spans="1:10" x14ac:dyDescent="0.25">
      <c r="A85" s="5" t="s">
        <v>198</v>
      </c>
      <c r="B85" s="5" t="s">
        <v>287</v>
      </c>
      <c r="C85" s="5" t="s">
        <v>298</v>
      </c>
      <c r="D85" s="5" t="s">
        <v>299</v>
      </c>
      <c r="E85" s="5" t="s">
        <v>128</v>
      </c>
      <c r="F85" s="20">
        <v>650.35</v>
      </c>
      <c r="G85" s="21">
        <f>F85/Supuestos!$B$34</f>
      </c>
      <c r="H85" s="22">
        <v>50.71</v>
      </c>
      <c r="I85" s="6">
        <f>F85*H85</f>
      </c>
      <c r="J85" s="6">
        <f>I85/Supuestos!$B$34</f>
      </c>
    </row>
    <row r="86" spans="1:10" x14ac:dyDescent="0.25">
      <c r="A86" s="5" t="s">
        <v>198</v>
      </c>
      <c r="B86" s="5" t="s">
        <v>287</v>
      </c>
      <c r="C86" s="5" t="s">
        <v>300</v>
      </c>
      <c r="D86" s="5" t="s">
        <v>301</v>
      </c>
      <c r="E86" s="5" t="s">
        <v>118</v>
      </c>
      <c r="F86" s="20">
        <v>150</v>
      </c>
      <c r="G86" s="21">
        <f>F86/Supuestos!$B$34</f>
      </c>
      <c r="H86" s="22">
        <v>23.94</v>
      </c>
      <c r="I86" s="6">
        <f>F86*H86</f>
      </c>
      <c r="J86" s="6">
        <f>I86/Supuestos!$B$34</f>
      </c>
    </row>
    <row r="87" spans="1:10" x14ac:dyDescent="0.25">
      <c r="A87" s="5" t="s">
        <v>198</v>
      </c>
      <c r="B87" s="5" t="s">
        <v>287</v>
      </c>
      <c r="C87" s="5" t="s">
        <v>302</v>
      </c>
      <c r="D87" s="5" t="s">
        <v>303</v>
      </c>
      <c r="E87" s="5" t="s">
        <v>118</v>
      </c>
      <c r="F87" s="20">
        <v>192</v>
      </c>
      <c r="G87" s="21">
        <f>F87/Supuestos!$B$34</f>
      </c>
      <c r="H87" s="22">
        <v>18.32</v>
      </c>
      <c r="I87" s="6">
        <f>F87*H87</f>
      </c>
      <c r="J87" s="6">
        <f>I87/Supuestos!$B$34</f>
      </c>
    </row>
    <row r="88" spans="1:10" x14ac:dyDescent="0.25">
      <c r="A88" s="5" t="s">
        <v>198</v>
      </c>
      <c r="B88" s="5" t="s">
        <v>287</v>
      </c>
      <c r="C88" s="5" t="s">
        <v>304</v>
      </c>
      <c r="D88" s="5" t="s">
        <v>305</v>
      </c>
      <c r="E88" s="5" t="s">
        <v>118</v>
      </c>
      <c r="F88" s="20">
        <v>33</v>
      </c>
      <c r="G88" s="21">
        <f>F88/Supuestos!$B$34</f>
      </c>
      <c r="H88" s="22">
        <v>38.18</v>
      </c>
      <c r="I88" s="6">
        <f>F88*H88</f>
      </c>
      <c r="J88" s="6">
        <f>I88/Supuestos!$B$34</f>
      </c>
    </row>
    <row r="89" spans="1:10" x14ac:dyDescent="0.25">
      <c r="A89" s="5" t="s">
        <v>198</v>
      </c>
      <c r="B89" s="5" t="s">
        <v>287</v>
      </c>
      <c r="C89" s="5" t="s">
        <v>306</v>
      </c>
      <c r="D89" s="5" t="s">
        <v>307</v>
      </c>
      <c r="E89" s="5" t="s">
        <v>118</v>
      </c>
      <c r="F89" s="20">
        <v>224</v>
      </c>
      <c r="G89" s="21">
        <f>F89/Supuestos!$B$34</f>
      </c>
      <c r="H89" s="22">
        <v>34.89</v>
      </c>
      <c r="I89" s="6">
        <f>F89*H89</f>
      </c>
      <c r="J89" s="6">
        <f>I89/Supuestos!$B$34</f>
      </c>
    </row>
    <row r="90" spans="1:10" x14ac:dyDescent="0.25">
      <c r="A90" s="5" t="s">
        <v>198</v>
      </c>
      <c r="B90" s="5" t="s">
        <v>287</v>
      </c>
      <c r="C90" s="5" t="s">
        <v>308</v>
      </c>
      <c r="D90" s="5" t="s">
        <v>309</v>
      </c>
      <c r="E90" s="5" t="s">
        <v>118</v>
      </c>
      <c r="F90" s="20">
        <v>32</v>
      </c>
      <c r="G90" s="21">
        <f>F90/Supuestos!$B$34</f>
      </c>
      <c r="H90" s="22">
        <v>50.17</v>
      </c>
      <c r="I90" s="6">
        <f>F90*H90</f>
      </c>
      <c r="J90" s="6">
        <f>I90/Supuestos!$B$34</f>
      </c>
    </row>
    <row r="91" spans="1:10" x14ac:dyDescent="0.25">
      <c r="A91" s="5" t="s">
        <v>198</v>
      </c>
      <c r="B91" s="5" t="s">
        <v>287</v>
      </c>
      <c r="C91" s="5" t="s">
        <v>310</v>
      </c>
      <c r="D91" s="5" t="s">
        <v>311</v>
      </c>
      <c r="E91" s="5" t="s">
        <v>118</v>
      </c>
      <c r="F91" s="20">
        <v>16</v>
      </c>
      <c r="G91" s="21">
        <f>F91/Supuestos!$B$34</f>
      </c>
      <c r="H91" s="22">
        <v>38.28</v>
      </c>
      <c r="I91" s="6">
        <f>F91*H91</f>
      </c>
      <c r="J91" s="6">
        <f>I91/Supuestos!$B$34</f>
      </c>
    </row>
    <row r="92" spans="1:10" x14ac:dyDescent="0.25">
      <c r="A92" s="5" t="s">
        <v>198</v>
      </c>
      <c r="B92" s="5" t="s">
        <v>287</v>
      </c>
      <c r="C92" s="5" t="s">
        <v>312</v>
      </c>
      <c r="D92" s="5" t="s">
        <v>313</v>
      </c>
      <c r="E92" s="5" t="s">
        <v>118</v>
      </c>
      <c r="F92" s="20">
        <v>336</v>
      </c>
      <c r="G92" s="21">
        <f>F92/Supuestos!$B$34</f>
      </c>
      <c r="H92" s="22">
        <v>20.93</v>
      </c>
      <c r="I92" s="6">
        <f>F92*H92</f>
      </c>
      <c r="J92" s="6">
        <f>I92/Supuestos!$B$34</f>
      </c>
    </row>
    <row r="93" spans="1:10" x14ac:dyDescent="0.25">
      <c r="A93" s="5" t="s">
        <v>198</v>
      </c>
      <c r="B93" s="5" t="s">
        <v>287</v>
      </c>
      <c r="C93" s="5" t="s">
        <v>314</v>
      </c>
      <c r="D93" s="5" t="s">
        <v>315</v>
      </c>
      <c r="E93" s="5" t="s">
        <v>118</v>
      </c>
      <c r="F93" s="20">
        <v>112</v>
      </c>
      <c r="G93" s="21">
        <f>F93/Supuestos!$B$34</f>
      </c>
      <c r="H93" s="22">
        <v>26.91</v>
      </c>
      <c r="I93" s="6">
        <f>F93*H93</f>
      </c>
      <c r="J93" s="6">
        <f>I93/Supuestos!$B$34</f>
      </c>
    </row>
    <row r="94" spans="1:10" x14ac:dyDescent="0.25">
      <c r="A94" s="5" t="s">
        <v>198</v>
      </c>
      <c r="B94" s="5" t="s">
        <v>287</v>
      </c>
      <c r="C94" s="5" t="s">
        <v>316</v>
      </c>
      <c r="D94" s="5" t="s">
        <v>317</v>
      </c>
      <c r="E94" s="5" t="s">
        <v>118</v>
      </c>
      <c r="F94" s="20">
        <v>64</v>
      </c>
      <c r="G94" s="21">
        <f>F94/Supuestos!$B$34</f>
      </c>
      <c r="H94" s="22">
        <v>37.39</v>
      </c>
      <c r="I94" s="6">
        <f>F94*H94</f>
      </c>
      <c r="J94" s="6">
        <f>I94/Supuestos!$B$34</f>
      </c>
    </row>
    <row r="95" spans="1:10" x14ac:dyDescent="0.25">
      <c r="A95" s="5" t="s">
        <v>198</v>
      </c>
      <c r="B95" s="5" t="s">
        <v>287</v>
      </c>
      <c r="C95" s="5" t="s">
        <v>318</v>
      </c>
      <c r="D95" s="5" t="s">
        <v>319</v>
      </c>
      <c r="E95" s="5" t="s">
        <v>118</v>
      </c>
      <c r="F95" s="20">
        <v>80</v>
      </c>
      <c r="G95" s="21">
        <f>F95/Supuestos!$B$34</f>
      </c>
      <c r="H95" s="22">
        <v>26.49</v>
      </c>
      <c r="I95" s="6">
        <f>F95*H95</f>
      </c>
      <c r="J95" s="6">
        <f>I95/Supuestos!$B$34</f>
      </c>
    </row>
    <row r="96" spans="1:10" x14ac:dyDescent="0.25">
      <c r="A96" s="5" t="s">
        <v>198</v>
      </c>
      <c r="B96" s="5" t="s">
        <v>287</v>
      </c>
      <c r="C96" s="5" t="s">
        <v>320</v>
      </c>
      <c r="D96" s="5" t="s">
        <v>321</v>
      </c>
      <c r="E96" s="5" t="s">
        <v>118</v>
      </c>
      <c r="F96" s="20">
        <v>33</v>
      </c>
      <c r="G96" s="21">
        <f>F96/Supuestos!$B$34</f>
      </c>
      <c r="H96" s="22">
        <v>24.13</v>
      </c>
      <c r="I96" s="6">
        <f>F96*H96</f>
      </c>
      <c r="J96" s="6">
        <f>I96/Supuestos!$B$34</f>
      </c>
    </row>
    <row r="97" spans="1:10" x14ac:dyDescent="0.25">
      <c r="A97" s="5" t="s">
        <v>198</v>
      </c>
      <c r="B97" s="5" t="s">
        <v>287</v>
      </c>
      <c r="C97" s="5" t="s">
        <v>322</v>
      </c>
      <c r="D97" s="5" t="s">
        <v>323</v>
      </c>
      <c r="E97" s="5" t="s">
        <v>118</v>
      </c>
      <c r="F97" s="20">
        <v>16</v>
      </c>
      <c r="G97" s="21">
        <f>F97/Supuestos!$B$34</f>
      </c>
      <c r="H97" s="22">
        <v>729.6</v>
      </c>
      <c r="I97" s="6">
        <f>F97*H97</f>
      </c>
      <c r="J97" s="6">
        <f>I97/Supuestos!$B$34</f>
      </c>
    </row>
    <row r="98" spans="1:10" x14ac:dyDescent="0.25">
      <c r="A98" s="5" t="s">
        <v>198</v>
      </c>
      <c r="B98" s="5" t="s">
        <v>287</v>
      </c>
      <c r="C98" s="5" t="s">
        <v>324</v>
      </c>
      <c r="D98" s="5" t="s">
        <v>325</v>
      </c>
      <c r="E98" s="5" t="s">
        <v>118</v>
      </c>
      <c r="F98" s="20">
        <v>16</v>
      </c>
      <c r="G98" s="21">
        <f>F98/Supuestos!$B$34</f>
      </c>
      <c r="H98" s="22">
        <v>1242.13</v>
      </c>
      <c r="I98" s="6">
        <f>F98*H98</f>
      </c>
      <c r="J98" s="6">
        <f>I98/Supuestos!$B$34</f>
      </c>
    </row>
    <row r="99" spans="1:10" x14ac:dyDescent="0.25">
      <c r="A99" s="5" t="s">
        <v>198</v>
      </c>
      <c r="B99" s="5" t="s">
        <v>287</v>
      </c>
      <c r="C99" s="5" t="s">
        <v>326</v>
      </c>
      <c r="D99" s="5" t="s">
        <v>327</v>
      </c>
      <c r="E99" s="5" t="s">
        <v>118</v>
      </c>
      <c r="F99" s="20">
        <v>16</v>
      </c>
      <c r="G99" s="21">
        <f>F99/Supuestos!$B$34</f>
      </c>
      <c r="H99" s="22">
        <v>268.51</v>
      </c>
      <c r="I99" s="6">
        <f>F99*H99</f>
      </c>
      <c r="J99" s="6">
        <f>I99/Supuestos!$B$34</f>
      </c>
    </row>
    <row r="100" spans="1:10" x14ac:dyDescent="0.25">
      <c r="A100" s="5" t="s">
        <v>198</v>
      </c>
      <c r="B100" s="5" t="s">
        <v>287</v>
      </c>
      <c r="C100" s="5" t="s">
        <v>328</v>
      </c>
      <c r="D100" s="5" t="s">
        <v>329</v>
      </c>
      <c r="E100" s="5" t="s">
        <v>118</v>
      </c>
      <c r="F100" s="20">
        <v>16</v>
      </c>
      <c r="G100" s="21">
        <f>F100/Supuestos!$B$34</f>
      </c>
      <c r="H100" s="22">
        <v>108.96</v>
      </c>
      <c r="I100" s="6">
        <f>F100*H100</f>
      </c>
      <c r="J100" s="6">
        <f>I100/Supuestos!$B$34</f>
      </c>
    </row>
    <row r="101" spans="1:10" x14ac:dyDescent="0.25">
      <c r="A101" s="5" t="s">
        <v>198</v>
      </c>
      <c r="B101" s="5" t="s">
        <v>287</v>
      </c>
      <c r="C101" s="5" t="s">
        <v>330</v>
      </c>
      <c r="D101" s="5" t="s">
        <v>331</v>
      </c>
      <c r="E101" s="5" t="s">
        <v>128</v>
      </c>
      <c r="F101" s="20">
        <v>144.8</v>
      </c>
      <c r="G101" s="21">
        <f>F101/Supuestos!$B$34</f>
      </c>
      <c r="H101" s="22">
        <v>12.11</v>
      </c>
      <c r="I101" s="6">
        <f>F101*H101</f>
      </c>
      <c r="J101" s="6">
        <f>I101/Supuestos!$B$34</f>
      </c>
    </row>
    <row r="102" spans="1:10" x14ac:dyDescent="0.25">
      <c r="A102" s="5" t="s">
        <v>198</v>
      </c>
      <c r="B102" s="5" t="s">
        <v>287</v>
      </c>
      <c r="C102" s="5" t="s">
        <v>332</v>
      </c>
      <c r="D102" s="5" t="s">
        <v>333</v>
      </c>
      <c r="E102" s="5" t="s">
        <v>118</v>
      </c>
      <c r="F102" s="20">
        <v>16</v>
      </c>
      <c r="G102" s="21">
        <f>F102/Supuestos!$B$34</f>
      </c>
      <c r="H102" s="22">
        <v>43.78</v>
      </c>
      <c r="I102" s="6">
        <f>F102*H102</f>
      </c>
      <c r="J102" s="6">
        <f>I102/Supuestos!$B$34</f>
      </c>
    </row>
    <row r="103" spans="1:10" x14ac:dyDescent="0.25">
      <c r="A103" s="5" t="s">
        <v>198</v>
      </c>
      <c r="B103" s="5" t="s">
        <v>287</v>
      </c>
      <c r="C103" s="5" t="s">
        <v>334</v>
      </c>
      <c r="D103" s="5" t="s">
        <v>335</v>
      </c>
      <c r="E103" s="5" t="s">
        <v>128</v>
      </c>
      <c r="F103" s="20">
        <v>2884.48</v>
      </c>
      <c r="G103" s="21">
        <f>F103/Supuestos!$B$34</f>
      </c>
      <c r="H103" s="22">
        <v>1.44</v>
      </c>
      <c r="I103" s="6">
        <f>F103*H103</f>
      </c>
      <c r="J103" s="6">
        <f>I103/Supuestos!$B$34</f>
      </c>
    </row>
    <row r="104" spans="1:10" x14ac:dyDescent="0.25">
      <c r="A104" s="5" t="s">
        <v>198</v>
      </c>
      <c r="B104" s="5" t="s">
        <v>287</v>
      </c>
      <c r="C104" s="5" t="s">
        <v>336</v>
      </c>
      <c r="D104" s="5" t="s">
        <v>337</v>
      </c>
      <c r="E104" s="5" t="s">
        <v>118</v>
      </c>
      <c r="F104" s="20">
        <v>272</v>
      </c>
      <c r="G104" s="21">
        <f>F104/Supuestos!$B$34</f>
      </c>
      <c r="H104" s="22">
        <v>5.9</v>
      </c>
      <c r="I104" s="6">
        <f>F104*H104</f>
      </c>
      <c r="J104" s="6">
        <f>I104/Supuestos!$B$34</f>
      </c>
    </row>
    <row r="105" spans="1:10" x14ac:dyDescent="0.25">
      <c r="A105" s="5" t="s">
        <v>198</v>
      </c>
      <c r="B105" s="5" t="s">
        <v>287</v>
      </c>
      <c r="C105" s="5" t="s">
        <v>338</v>
      </c>
      <c r="D105" s="5" t="s">
        <v>339</v>
      </c>
      <c r="E105" s="5" t="s">
        <v>118</v>
      </c>
      <c r="F105" s="20">
        <v>16</v>
      </c>
      <c r="G105" s="21">
        <f>F105/Supuestos!$B$34</f>
      </c>
      <c r="H105" s="22">
        <v>340.87</v>
      </c>
      <c r="I105" s="6">
        <f>F105*H105</f>
      </c>
      <c r="J105" s="6">
        <f>I105/Supuestos!$B$34</f>
      </c>
    </row>
    <row r="106" spans="1:10" x14ac:dyDescent="0.25">
      <c r="A106" s="5" t="s">
        <v>198</v>
      </c>
      <c r="B106" s="5" t="s">
        <v>287</v>
      </c>
      <c r="C106" s="5" t="s">
        <v>340</v>
      </c>
      <c r="D106" s="5" t="s">
        <v>341</v>
      </c>
      <c r="E106" s="5" t="s">
        <v>128</v>
      </c>
      <c r="F106" s="20">
        <v>1584.16</v>
      </c>
      <c r="G106" s="21">
        <f>F106/Supuestos!$B$34</f>
      </c>
      <c r="H106" s="22">
        <v>1.18</v>
      </c>
      <c r="I106" s="6">
        <f>F106*H106</f>
      </c>
      <c r="J106" s="6">
        <f>I106/Supuestos!$B$34</f>
      </c>
    </row>
    <row r="107" spans="1:10" x14ac:dyDescent="0.25">
      <c r="A107" s="5" t="s">
        <v>198</v>
      </c>
      <c r="B107" s="5" t="s">
        <v>287</v>
      </c>
      <c r="C107" s="5" t="s">
        <v>342</v>
      </c>
      <c r="D107" s="5" t="s">
        <v>343</v>
      </c>
      <c r="E107" s="5" t="s">
        <v>128</v>
      </c>
      <c r="F107" s="20">
        <v>434.56</v>
      </c>
      <c r="G107" s="21">
        <f>F107/Supuestos!$B$34</f>
      </c>
      <c r="H107" s="22">
        <v>1.31</v>
      </c>
      <c r="I107" s="6">
        <f>F107*H107</f>
      </c>
      <c r="J107" s="6">
        <f>I107/Supuestos!$B$34</f>
      </c>
    </row>
    <row r="108" spans="1:10" x14ac:dyDescent="0.25">
      <c r="A108" s="5" t="s">
        <v>198</v>
      </c>
      <c r="B108" s="5" t="s">
        <v>287</v>
      </c>
      <c r="C108" s="5" t="s">
        <v>344</v>
      </c>
      <c r="D108" s="5" t="s">
        <v>345</v>
      </c>
      <c r="E108" s="5" t="s">
        <v>118</v>
      </c>
      <c r="F108" s="20">
        <v>16</v>
      </c>
      <c r="G108" s="21">
        <f>F108/Supuestos!$B$34</f>
      </c>
      <c r="H108" s="22">
        <v>21.3</v>
      </c>
      <c r="I108" s="6">
        <f>F108*H108</f>
      </c>
      <c r="J108" s="6">
        <f>I108/Supuestos!$B$34</f>
      </c>
    </row>
    <row r="109" spans="1:10" x14ac:dyDescent="0.25">
      <c r="A109" s="5" t="s">
        <v>198</v>
      </c>
      <c r="B109" s="5" t="s">
        <v>287</v>
      </c>
      <c r="C109" s="5" t="s">
        <v>346</v>
      </c>
      <c r="D109" s="5" t="s">
        <v>347</v>
      </c>
      <c r="E109" s="5" t="s">
        <v>118</v>
      </c>
      <c r="F109" s="20">
        <v>16</v>
      </c>
      <c r="G109" s="21">
        <f>F109/Supuestos!$B$34</f>
      </c>
      <c r="H109" s="22">
        <v>9.63</v>
      </c>
      <c r="I109" s="6">
        <f>F109*H109</f>
      </c>
      <c r="J109" s="6">
        <f>I109/Supuestos!$B$34</f>
      </c>
    </row>
    <row r="110" spans="1:10" x14ac:dyDescent="0.25">
      <c r="A110" s="5" t="s">
        <v>198</v>
      </c>
      <c r="B110" s="5" t="s">
        <v>287</v>
      </c>
      <c r="C110" s="5" t="s">
        <v>348</v>
      </c>
      <c r="D110" s="5" t="s">
        <v>349</v>
      </c>
      <c r="E110" s="5" t="s">
        <v>118</v>
      </c>
      <c r="F110" s="20">
        <v>80</v>
      </c>
      <c r="G110" s="21">
        <f>F110/Supuestos!$B$34</f>
      </c>
      <c r="H110" s="22">
        <v>28.95</v>
      </c>
      <c r="I110" s="6">
        <f>F110*H110</f>
      </c>
      <c r="J110" s="6">
        <f>I110/Supuestos!$B$34</f>
      </c>
    </row>
    <row r="111" spans="1:10" x14ac:dyDescent="0.25">
      <c r="A111" s="5" t="s">
        <v>198</v>
      </c>
      <c r="B111" s="5" t="s">
        <v>287</v>
      </c>
      <c r="C111" s="5" t="s">
        <v>350</v>
      </c>
      <c r="D111" s="5" t="s">
        <v>351</v>
      </c>
      <c r="E111" s="5" t="s">
        <v>118</v>
      </c>
      <c r="F111" s="20">
        <v>80</v>
      </c>
      <c r="G111" s="21">
        <f>F111/Supuestos!$B$34</f>
      </c>
      <c r="H111" s="22">
        <v>53.62</v>
      </c>
      <c r="I111" s="6">
        <f>F111*H111</f>
      </c>
      <c r="J111" s="6">
        <f>I111/Supuestos!$B$34</f>
      </c>
    </row>
    <row r="112" spans="1:10" x14ac:dyDescent="0.25">
      <c r="A112" s="5" t="s">
        <v>198</v>
      </c>
      <c r="B112" s="5" t="s">
        <v>287</v>
      </c>
      <c r="C112" s="5" t="s">
        <v>352</v>
      </c>
      <c r="D112" s="5" t="s">
        <v>353</v>
      </c>
      <c r="E112" s="5" t="s">
        <v>118</v>
      </c>
      <c r="F112" s="20">
        <v>80</v>
      </c>
      <c r="G112" s="21">
        <f>F112/Supuestos!$B$34</f>
      </c>
      <c r="H112" s="22">
        <v>56.18</v>
      </c>
      <c r="I112" s="6">
        <f>F112*H112</f>
      </c>
      <c r="J112" s="6">
        <f>I112/Supuestos!$B$34</f>
      </c>
    </row>
    <row r="113" spans="1:10" x14ac:dyDescent="0.25">
      <c r="A113" s="5" t="s">
        <v>198</v>
      </c>
      <c r="B113" s="5" t="s">
        <v>287</v>
      </c>
      <c r="C113" s="5" t="s">
        <v>354</v>
      </c>
      <c r="D113" s="5" t="s">
        <v>355</v>
      </c>
      <c r="E113" s="5" t="s">
        <v>128</v>
      </c>
      <c r="F113" s="20">
        <v>2237.44</v>
      </c>
      <c r="G113" s="21">
        <f>F113/Supuestos!$B$34</f>
      </c>
      <c r="H113" s="22">
        <v>1.82</v>
      </c>
      <c r="I113" s="6">
        <f>F113*H113</f>
      </c>
      <c r="J113" s="6">
        <f>I113/Supuestos!$B$34</f>
      </c>
    </row>
    <row r="114" spans="1:10" x14ac:dyDescent="0.25">
      <c r="A114" s="5" t="s">
        <v>198</v>
      </c>
      <c r="B114" s="5" t="s">
        <v>287</v>
      </c>
      <c r="C114" s="5" t="s">
        <v>356</v>
      </c>
      <c r="D114" s="5" t="s">
        <v>357</v>
      </c>
      <c r="E114" s="5" t="s">
        <v>118</v>
      </c>
      <c r="F114" s="20">
        <v>16</v>
      </c>
      <c r="G114" s="21">
        <f>F114/Supuestos!$B$34</f>
      </c>
      <c r="H114" s="22">
        <v>12.59</v>
      </c>
      <c r="I114" s="6">
        <f>F114*H114</f>
      </c>
      <c r="J114" s="6">
        <f>I114/Supuestos!$B$34</f>
      </c>
    </row>
    <row r="115" spans="1:10" x14ac:dyDescent="0.25">
      <c r="A115" s="5" t="s">
        <v>198</v>
      </c>
      <c r="B115" s="5" t="s">
        <v>287</v>
      </c>
      <c r="C115" s="5" t="s">
        <v>358</v>
      </c>
      <c r="D115" s="5" t="s">
        <v>359</v>
      </c>
      <c r="E115" s="5" t="s">
        <v>118</v>
      </c>
      <c r="F115" s="20">
        <v>16</v>
      </c>
      <c r="G115" s="21">
        <f>F115/Supuestos!$B$34</f>
      </c>
      <c r="H115" s="22">
        <v>26.94</v>
      </c>
      <c r="I115" s="6">
        <f>F115*H115</f>
      </c>
      <c r="J115" s="6">
        <f>I115/Supuestos!$B$34</f>
      </c>
    </row>
    <row r="116" spans="1:10" x14ac:dyDescent="0.25">
      <c r="A116" s="5" t="s">
        <v>198</v>
      </c>
      <c r="B116" s="5" t="s">
        <v>287</v>
      </c>
      <c r="C116" s="5" t="s">
        <v>360</v>
      </c>
      <c r="D116" s="5" t="s">
        <v>361</v>
      </c>
      <c r="E116" s="5" t="s">
        <v>128</v>
      </c>
      <c r="F116" s="20">
        <v>182.08</v>
      </c>
      <c r="G116" s="21">
        <f>F116/Supuestos!$B$34</f>
      </c>
      <c r="H116" s="22">
        <v>2.42</v>
      </c>
      <c r="I116" s="6">
        <f>F116*H116</f>
      </c>
      <c r="J116" s="6">
        <f>I116/Supuestos!$B$34</f>
      </c>
    </row>
    <row r="117" spans="1:10" x14ac:dyDescent="0.25">
      <c r="A117" s="5" t="s">
        <v>198</v>
      </c>
      <c r="B117" s="5" t="s">
        <v>287</v>
      </c>
      <c r="C117" s="5" t="s">
        <v>362</v>
      </c>
      <c r="D117" s="5" t="s">
        <v>363</v>
      </c>
      <c r="E117" s="5" t="s">
        <v>118</v>
      </c>
      <c r="F117" s="20">
        <v>16</v>
      </c>
      <c r="G117" s="21">
        <f>F117/Supuestos!$B$34</f>
      </c>
      <c r="H117" s="22">
        <v>25.88</v>
      </c>
      <c r="I117" s="6">
        <f>F117*H117</f>
      </c>
      <c r="J117" s="6">
        <f>I117/Supuestos!$B$34</f>
      </c>
    </row>
    <row r="118" spans="1:10" x14ac:dyDescent="0.25">
      <c r="A118" s="5" t="s">
        <v>198</v>
      </c>
      <c r="B118" s="5" t="s">
        <v>287</v>
      </c>
      <c r="C118" s="5" t="s">
        <v>364</v>
      </c>
      <c r="D118" s="5" t="s">
        <v>365</v>
      </c>
      <c r="E118" s="5" t="s">
        <v>118</v>
      </c>
      <c r="F118" s="20">
        <v>16</v>
      </c>
      <c r="G118" s="21">
        <f>F118/Supuestos!$B$34</f>
      </c>
      <c r="H118" s="22">
        <v>17.2</v>
      </c>
      <c r="I118" s="6">
        <f>F118*H118</f>
      </c>
      <c r="J118" s="6">
        <f>I118/Supuestos!$B$34</f>
      </c>
    </row>
    <row r="119" spans="1:10" x14ac:dyDescent="0.25">
      <c r="A119" s="5" t="s">
        <v>198</v>
      </c>
      <c r="B119" s="5" t="s">
        <v>366</v>
      </c>
      <c r="C119" s="5" t="s">
        <v>367</v>
      </c>
      <c r="D119" s="5" t="s">
        <v>368</v>
      </c>
      <c r="E119" s="5" t="s">
        <v>118</v>
      </c>
      <c r="F119" s="20">
        <v>17</v>
      </c>
      <c r="G119" s="21">
        <f>F119/Supuestos!$B$34</f>
      </c>
      <c r="H119" s="22">
        <v>274.51</v>
      </c>
      <c r="I119" s="6">
        <f>F119*H119</f>
      </c>
      <c r="J119" s="6">
        <f>I119/Supuestos!$B$34</f>
      </c>
    </row>
    <row r="120" spans="1:10" x14ac:dyDescent="0.25">
      <c r="A120" s="5" t="s">
        <v>198</v>
      </c>
      <c r="B120" s="5" t="s">
        <v>366</v>
      </c>
      <c r="C120" s="5" t="s">
        <v>369</v>
      </c>
      <c r="D120" s="5" t="s">
        <v>370</v>
      </c>
      <c r="E120" s="5" t="s">
        <v>118</v>
      </c>
      <c r="F120" s="20">
        <v>17</v>
      </c>
      <c r="G120" s="21">
        <f>F120/Supuestos!$B$34</f>
      </c>
      <c r="H120" s="22">
        <v>143.38</v>
      </c>
      <c r="I120" s="6">
        <f>F120*H120</f>
      </c>
      <c r="J120" s="6">
        <f>I120/Supuestos!$B$34</f>
      </c>
    </row>
    <row r="121" spans="1:10" x14ac:dyDescent="0.25">
      <c r="A121" s="5" t="s">
        <v>198</v>
      </c>
      <c r="B121" s="5" t="s">
        <v>366</v>
      </c>
      <c r="C121" s="5" t="s">
        <v>371</v>
      </c>
      <c r="D121" s="5" t="s">
        <v>372</v>
      </c>
      <c r="E121" s="5" t="s">
        <v>128</v>
      </c>
      <c r="F121" s="20">
        <v>255.05</v>
      </c>
      <c r="G121" s="21">
        <f>F121/Supuestos!$B$34</f>
      </c>
      <c r="H121" s="22">
        <v>6.15</v>
      </c>
      <c r="I121" s="6">
        <f>F121*H121</f>
      </c>
      <c r="J121" s="6">
        <f>I121/Supuestos!$B$34</f>
      </c>
    </row>
    <row r="122" spans="1:10" x14ac:dyDescent="0.25">
      <c r="A122" s="5" t="s">
        <v>198</v>
      </c>
      <c r="B122" s="5" t="s">
        <v>366</v>
      </c>
      <c r="C122" s="5" t="s">
        <v>373</v>
      </c>
      <c r="D122" s="5" t="s">
        <v>374</v>
      </c>
      <c r="E122" s="5" t="s">
        <v>128</v>
      </c>
      <c r="F122" s="20">
        <v>100</v>
      </c>
      <c r="G122" s="21">
        <f>F122/Supuestos!$B$34</f>
      </c>
      <c r="H122" s="22">
        <v>6.68</v>
      </c>
      <c r="I122" s="6">
        <f>F122*H122</f>
      </c>
      <c r="J122" s="6">
        <f>I122/Supuestos!$B$34</f>
      </c>
    </row>
    <row r="123" spans="1:10" x14ac:dyDescent="0.25">
      <c r="A123" s="5" t="s">
        <v>198</v>
      </c>
      <c r="B123" s="5" t="s">
        <v>366</v>
      </c>
      <c r="C123" s="5" t="s">
        <v>375</v>
      </c>
      <c r="D123" s="5" t="s">
        <v>376</v>
      </c>
      <c r="E123" s="5" t="s">
        <v>128</v>
      </c>
      <c r="F123" s="20">
        <v>2880.14</v>
      </c>
      <c r="G123" s="21">
        <f>F123/Supuestos!$B$34</f>
      </c>
      <c r="H123" s="22">
        <v>4.79</v>
      </c>
      <c r="I123" s="6">
        <f>F123*H123</f>
      </c>
      <c r="J123" s="6">
        <f>I123/Supuestos!$B$34</f>
      </c>
    </row>
    <row r="124" spans="1:10" x14ac:dyDescent="0.25">
      <c r="A124" s="5" t="s">
        <v>198</v>
      </c>
      <c r="B124" s="5" t="s">
        <v>366</v>
      </c>
      <c r="C124" s="5" t="s">
        <v>377</v>
      </c>
      <c r="D124" s="5" t="s">
        <v>378</v>
      </c>
      <c r="E124" s="5" t="s">
        <v>118</v>
      </c>
      <c r="F124" s="20">
        <v>18</v>
      </c>
      <c r="G124" s="21">
        <f>F124/Supuestos!$B$34</f>
      </c>
      <c r="H124" s="22">
        <v>19.14</v>
      </c>
      <c r="I124" s="6">
        <f>F124*H124</f>
      </c>
      <c r="J124" s="6">
        <f>I124/Supuestos!$B$34</f>
      </c>
    </row>
    <row r="125" spans="1:10" x14ac:dyDescent="0.25">
      <c r="A125" s="5" t="s">
        <v>198</v>
      </c>
      <c r="B125" s="5" t="s">
        <v>366</v>
      </c>
      <c r="C125" s="5" t="s">
        <v>379</v>
      </c>
      <c r="D125" s="5" t="s">
        <v>380</v>
      </c>
      <c r="E125" s="5" t="s">
        <v>118</v>
      </c>
      <c r="F125" s="20">
        <v>210</v>
      </c>
      <c r="G125" s="21">
        <f>F125/Supuestos!$B$34</f>
      </c>
      <c r="H125" s="22">
        <v>13.42</v>
      </c>
      <c r="I125" s="6">
        <f>F125*H125</f>
      </c>
      <c r="J125" s="6">
        <f>I125/Supuestos!$B$34</f>
      </c>
    </row>
    <row r="126" spans="1:10" x14ac:dyDescent="0.25">
      <c r="A126" s="5" t="s">
        <v>198</v>
      </c>
      <c r="B126" s="5" t="s">
        <v>366</v>
      </c>
      <c r="C126" s="5" t="s">
        <v>381</v>
      </c>
      <c r="D126" s="5" t="s">
        <v>382</v>
      </c>
      <c r="E126" s="5" t="s">
        <v>128</v>
      </c>
      <c r="F126" s="20">
        <v>386.08</v>
      </c>
      <c r="G126" s="21">
        <f>F126/Supuestos!$B$34</f>
      </c>
      <c r="H126" s="22">
        <v>8.04</v>
      </c>
      <c r="I126" s="6">
        <f>F126*H126</f>
      </c>
      <c r="J126" s="6">
        <f>I126/Supuestos!$B$34</f>
      </c>
    </row>
    <row r="127" spans="1:10" x14ac:dyDescent="0.25">
      <c r="A127" s="5" t="s">
        <v>198</v>
      </c>
      <c r="B127" s="5" t="s">
        <v>366</v>
      </c>
      <c r="C127" s="5" t="s">
        <v>383</v>
      </c>
      <c r="D127" s="5" t="s">
        <v>384</v>
      </c>
      <c r="E127" s="5" t="s">
        <v>128</v>
      </c>
      <c r="F127" s="20">
        <v>87.36</v>
      </c>
      <c r="G127" s="21">
        <f>F127/Supuestos!$B$34</f>
      </c>
      <c r="H127" s="22">
        <v>18.62</v>
      </c>
      <c r="I127" s="6">
        <f>F127*H127</f>
      </c>
      <c r="J127" s="6">
        <f>I127/Supuestos!$B$34</f>
      </c>
    </row>
    <row r="128" spans="1:10" x14ac:dyDescent="0.25">
      <c r="A128" s="5" t="s">
        <v>198</v>
      </c>
      <c r="B128" s="5" t="s">
        <v>366</v>
      </c>
      <c r="C128" s="5" t="s">
        <v>385</v>
      </c>
      <c r="D128" s="5" t="s">
        <v>386</v>
      </c>
      <c r="E128" s="5" t="s">
        <v>128</v>
      </c>
      <c r="F128" s="20">
        <v>773.6</v>
      </c>
      <c r="G128" s="21">
        <f>F128/Supuestos!$B$34</f>
      </c>
      <c r="H128" s="22">
        <v>20.37</v>
      </c>
      <c r="I128" s="6">
        <f>F128*H128</f>
      </c>
      <c r="J128" s="6">
        <f>I128/Supuestos!$B$34</f>
      </c>
    </row>
    <row r="129" spans="1:10" x14ac:dyDescent="0.25">
      <c r="A129" s="5" t="s">
        <v>198</v>
      </c>
      <c r="B129" s="5" t="s">
        <v>366</v>
      </c>
      <c r="C129" s="5" t="s">
        <v>387</v>
      </c>
      <c r="D129" s="5" t="s">
        <v>388</v>
      </c>
      <c r="E129" s="5" t="s">
        <v>128</v>
      </c>
      <c r="F129" s="20">
        <v>22.56</v>
      </c>
      <c r="G129" s="21">
        <f>F129/Supuestos!$B$34</f>
      </c>
      <c r="H129" s="22">
        <v>21.66</v>
      </c>
      <c r="I129" s="6">
        <f>F129*H129</f>
      </c>
      <c r="J129" s="6">
        <f>I129/Supuestos!$B$34</f>
      </c>
    </row>
    <row r="130" spans="1:10" x14ac:dyDescent="0.25">
      <c r="A130" s="5" t="s">
        <v>198</v>
      </c>
      <c r="B130" s="5" t="s">
        <v>366</v>
      </c>
      <c r="C130" s="5" t="s">
        <v>389</v>
      </c>
      <c r="D130" s="5" t="s">
        <v>390</v>
      </c>
      <c r="E130" s="5" t="s">
        <v>118</v>
      </c>
      <c r="F130" s="20">
        <v>64</v>
      </c>
      <c r="G130" s="21">
        <f>F130/Supuestos!$B$34</f>
      </c>
      <c r="H130" s="22">
        <v>8.26</v>
      </c>
      <c r="I130" s="6">
        <f>F130*H130</f>
      </c>
      <c r="J130" s="6">
        <f>I130/Supuestos!$B$34</f>
      </c>
    </row>
    <row r="131" spans="1:10" x14ac:dyDescent="0.25">
      <c r="A131" s="5" t="s">
        <v>198</v>
      </c>
      <c r="B131" s="5" t="s">
        <v>366</v>
      </c>
      <c r="C131" s="5" t="s">
        <v>391</v>
      </c>
      <c r="D131" s="5" t="s">
        <v>392</v>
      </c>
      <c r="E131" s="5" t="s">
        <v>118</v>
      </c>
      <c r="F131" s="20">
        <v>48</v>
      </c>
      <c r="G131" s="21">
        <f>F131/Supuestos!$B$34</f>
      </c>
      <c r="H131" s="22">
        <v>18.55</v>
      </c>
      <c r="I131" s="6">
        <f>F131*H131</f>
      </c>
      <c r="J131" s="6">
        <f>I131/Supuestos!$B$34</f>
      </c>
    </row>
    <row r="132" spans="1:10" x14ac:dyDescent="0.25">
      <c r="A132" s="5" t="s">
        <v>198</v>
      </c>
      <c r="B132" s="5" t="s">
        <v>366</v>
      </c>
      <c r="C132" s="5" t="s">
        <v>393</v>
      </c>
      <c r="D132" s="5" t="s">
        <v>394</v>
      </c>
      <c r="E132" s="5" t="s">
        <v>128</v>
      </c>
      <c r="F132" s="20">
        <v>280</v>
      </c>
      <c r="G132" s="21">
        <f>F132/Supuestos!$B$34</f>
      </c>
      <c r="H132" s="22">
        <v>5.25</v>
      </c>
      <c r="I132" s="6">
        <f>F132*H132</f>
      </c>
      <c r="J132" s="6">
        <f>I132/Supuestos!$B$34</f>
      </c>
    </row>
    <row r="133" spans="1:10" x14ac:dyDescent="0.25">
      <c r="A133" s="5" t="s">
        <v>198</v>
      </c>
      <c r="B133" s="5" t="s">
        <v>366</v>
      </c>
      <c r="C133" s="5" t="s">
        <v>395</v>
      </c>
      <c r="D133" s="5" t="s">
        <v>396</v>
      </c>
      <c r="E133" s="5" t="s">
        <v>128</v>
      </c>
      <c r="F133" s="20">
        <v>440</v>
      </c>
      <c r="G133" s="21">
        <f>F133/Supuestos!$B$34</f>
      </c>
      <c r="H133" s="22">
        <v>6.65</v>
      </c>
      <c r="I133" s="6">
        <f>F133*H133</f>
      </c>
      <c r="J133" s="6">
        <f>I133/Supuestos!$B$34</f>
      </c>
    </row>
    <row r="134" spans="1:10" x14ac:dyDescent="0.25">
      <c r="A134" s="5" t="s">
        <v>198</v>
      </c>
      <c r="B134" s="5" t="s">
        <v>366</v>
      </c>
      <c r="C134" s="5" t="s">
        <v>397</v>
      </c>
      <c r="D134" s="5" t="s">
        <v>398</v>
      </c>
      <c r="E134" s="5" t="s">
        <v>128</v>
      </c>
      <c r="F134" s="20">
        <v>230.4</v>
      </c>
      <c r="G134" s="21">
        <f>F134/Supuestos!$B$34</f>
      </c>
      <c r="H134" s="22">
        <v>3.01</v>
      </c>
      <c r="I134" s="6">
        <f>F134*H134</f>
      </c>
      <c r="J134" s="6">
        <f>I134/Supuestos!$B$34</f>
      </c>
    </row>
    <row r="135" spans="1:10" x14ac:dyDescent="0.25">
      <c r="A135" s="5" t="s">
        <v>198</v>
      </c>
      <c r="B135" s="5" t="s">
        <v>366</v>
      </c>
      <c r="C135" s="5" t="s">
        <v>399</v>
      </c>
      <c r="D135" s="5" t="s">
        <v>400</v>
      </c>
      <c r="E135" s="5" t="s">
        <v>128</v>
      </c>
      <c r="F135" s="20">
        <v>72</v>
      </c>
      <c r="G135" s="21">
        <f>F135/Supuestos!$B$34</f>
      </c>
      <c r="H135" s="22">
        <v>15.13</v>
      </c>
      <c r="I135" s="6">
        <f>F135*H135</f>
      </c>
      <c r="J135" s="6">
        <f>I135/Supuestos!$B$34</f>
      </c>
    </row>
    <row r="136" spans="1:10" x14ac:dyDescent="0.25">
      <c r="A136" s="5" t="s">
        <v>198</v>
      </c>
      <c r="B136" s="5" t="s">
        <v>366</v>
      </c>
      <c r="C136" s="5" t="s">
        <v>401</v>
      </c>
      <c r="D136" s="5" t="s">
        <v>402</v>
      </c>
      <c r="E136" s="5" t="s">
        <v>118</v>
      </c>
      <c r="F136" s="20">
        <v>48</v>
      </c>
      <c r="G136" s="21">
        <f>F136/Supuestos!$B$34</f>
      </c>
      <c r="H136" s="22">
        <v>11.21</v>
      </c>
      <c r="I136" s="6">
        <f>F136*H136</f>
      </c>
      <c r="J136" s="6">
        <f>I136/Supuestos!$B$34</f>
      </c>
    </row>
    <row r="137" spans="1:10" x14ac:dyDescent="0.25">
      <c r="A137" s="5" t="s">
        <v>198</v>
      </c>
      <c r="B137" s="5" t="s">
        <v>366</v>
      </c>
      <c r="C137" s="5" t="s">
        <v>403</v>
      </c>
      <c r="D137" s="5" t="s">
        <v>404</v>
      </c>
      <c r="E137" s="5" t="s">
        <v>118</v>
      </c>
      <c r="F137" s="20">
        <v>48</v>
      </c>
      <c r="G137" s="21">
        <f>F137/Supuestos!$B$34</f>
      </c>
      <c r="H137" s="22">
        <v>208.67</v>
      </c>
      <c r="I137" s="6">
        <f>F137*H137</f>
      </c>
      <c r="J137" s="6">
        <f>I137/Supuestos!$B$34</f>
      </c>
    </row>
    <row r="138" spans="1:10" x14ac:dyDescent="0.25">
      <c r="A138" s="5" t="s">
        <v>198</v>
      </c>
      <c r="B138" s="5" t="s">
        <v>366</v>
      </c>
      <c r="C138" s="5" t="s">
        <v>405</v>
      </c>
      <c r="D138" s="5" t="s">
        <v>406</v>
      </c>
      <c r="E138" s="5" t="s">
        <v>118</v>
      </c>
      <c r="F138" s="20">
        <v>16</v>
      </c>
      <c r="G138" s="21">
        <f>F138/Supuestos!$B$34</f>
      </c>
      <c r="H138" s="22">
        <v>229.58</v>
      </c>
      <c r="I138" s="6">
        <f>F138*H138</f>
      </c>
      <c r="J138" s="6">
        <f>I138/Supuestos!$B$34</f>
      </c>
    </row>
    <row r="139" spans="1:10" x14ac:dyDescent="0.25">
      <c r="A139" s="5" t="s">
        <v>198</v>
      </c>
      <c r="B139" s="5" t="s">
        <v>366</v>
      </c>
      <c r="C139" s="5" t="s">
        <v>407</v>
      </c>
      <c r="D139" s="5" t="s">
        <v>408</v>
      </c>
      <c r="E139" s="5" t="s">
        <v>118</v>
      </c>
      <c r="F139" s="20">
        <v>16</v>
      </c>
      <c r="G139" s="21">
        <f>F139/Supuestos!$B$34</f>
      </c>
      <c r="H139" s="22">
        <v>430.93</v>
      </c>
      <c r="I139" s="6">
        <f>F139*H139</f>
      </c>
      <c r="J139" s="6">
        <f>I139/Supuestos!$B$34</f>
      </c>
    </row>
    <row r="140" spans="1:10" x14ac:dyDescent="0.25">
      <c r="A140" s="5" t="s">
        <v>198</v>
      </c>
      <c r="B140" s="5" t="s">
        <v>366</v>
      </c>
      <c r="C140" s="5" t="s">
        <v>409</v>
      </c>
      <c r="D140" s="5" t="s">
        <v>410</v>
      </c>
      <c r="E140" s="5" t="s">
        <v>118</v>
      </c>
      <c r="F140" s="20">
        <v>16</v>
      </c>
      <c r="G140" s="21">
        <f>F140/Supuestos!$B$34</f>
      </c>
      <c r="H140" s="22">
        <v>523.15</v>
      </c>
      <c r="I140" s="6">
        <f>F140*H140</f>
      </c>
      <c r="J140" s="6">
        <f>I140/Supuestos!$B$34</f>
      </c>
    </row>
    <row r="141" spans="1:10" x14ac:dyDescent="0.25">
      <c r="A141" s="5" t="s">
        <v>198</v>
      </c>
      <c r="B141" s="5" t="s">
        <v>366</v>
      </c>
      <c r="C141" s="5" t="s">
        <v>411</v>
      </c>
      <c r="D141" s="5" t="s">
        <v>412</v>
      </c>
      <c r="E141" s="5" t="s">
        <v>118</v>
      </c>
      <c r="F141" s="20">
        <v>16</v>
      </c>
      <c r="G141" s="21">
        <f>F141/Supuestos!$B$34</f>
      </c>
      <c r="H141" s="22">
        <v>556.72</v>
      </c>
      <c r="I141" s="6">
        <f>F141*H141</f>
      </c>
      <c r="J141" s="6">
        <f>I141/Supuestos!$B$34</f>
      </c>
    </row>
    <row r="142" spans="1:10" x14ac:dyDescent="0.25">
      <c r="A142" s="5" t="s">
        <v>198</v>
      </c>
      <c r="B142" s="5" t="s">
        <v>413</v>
      </c>
      <c r="C142" s="5" t="s">
        <v>414</v>
      </c>
      <c r="D142" s="5" t="s">
        <v>415</v>
      </c>
      <c r="E142" s="5" t="s">
        <v>136</v>
      </c>
      <c r="F142" s="20">
        <v>2000</v>
      </c>
      <c r="G142" s="21">
        <f>F142/Supuestos!$B$34</f>
      </c>
      <c r="H142" s="22">
        <v>35.86</v>
      </c>
      <c r="I142" s="6">
        <f>F142*H142</f>
      </c>
      <c r="J142" s="6">
        <f>I142/Supuestos!$B$34</f>
      </c>
    </row>
    <row r="143" spans="1:10" x14ac:dyDescent="0.25">
      <c r="A143" s="5" t="s">
        <v>198</v>
      </c>
      <c r="B143" s="5" t="s">
        <v>413</v>
      </c>
      <c r="C143" s="5" t="s">
        <v>416</v>
      </c>
      <c r="D143" s="5" t="s">
        <v>417</v>
      </c>
      <c r="E143" s="5" t="s">
        <v>128</v>
      </c>
      <c r="F143" s="20">
        <v>2400</v>
      </c>
      <c r="G143" s="21">
        <f>F143/Supuestos!$B$34</f>
      </c>
      <c r="H143" s="22">
        <v>0.58</v>
      </c>
      <c r="I143" s="6">
        <f>F143*H143</f>
      </c>
      <c r="J143" s="6">
        <f>I143/Supuestos!$B$34</f>
      </c>
    </row>
    <row r="144" spans="1:10" x14ac:dyDescent="0.25">
      <c r="A144" s="5" t="s">
        <v>198</v>
      </c>
      <c r="B144" s="5" t="s">
        <v>413</v>
      </c>
      <c r="C144" s="5" t="s">
        <v>418</v>
      </c>
      <c r="D144" s="5" t="s">
        <v>419</v>
      </c>
      <c r="E144" s="5" t="s">
        <v>136</v>
      </c>
      <c r="F144" s="20">
        <v>2400</v>
      </c>
      <c r="G144" s="21">
        <f>F144/Supuestos!$B$34</f>
      </c>
      <c r="H144" s="22">
        <v>0.76</v>
      </c>
      <c r="I144" s="6">
        <f>F144*H144</f>
      </c>
      <c r="J144" s="6">
        <f>I144/Supuestos!$B$34</f>
      </c>
    </row>
    <row r="145" spans="1:10" x14ac:dyDescent="0.25">
      <c r="A145" s="5" t="s">
        <v>198</v>
      </c>
      <c r="B145" s="5" t="s">
        <v>413</v>
      </c>
      <c r="C145" s="5" t="s">
        <v>420</v>
      </c>
      <c r="D145" s="5" t="s">
        <v>421</v>
      </c>
      <c r="E145" s="5" t="s">
        <v>118</v>
      </c>
      <c r="F145" s="20">
        <v>160</v>
      </c>
      <c r="G145" s="21">
        <f>F145/Supuestos!$B$34</f>
      </c>
      <c r="H145" s="22">
        <v>3.64</v>
      </c>
      <c r="I145" s="6">
        <f>F145*H145</f>
      </c>
      <c r="J145" s="6">
        <f>I145/Supuestos!$B$34</f>
      </c>
    </row>
    <row r="146" spans="1:10" x14ac:dyDescent="0.25">
      <c r="A146" s="5" t="s">
        <v>198</v>
      </c>
      <c r="B146" s="5" t="s">
        <v>413</v>
      </c>
      <c r="C146" s="5" t="s">
        <v>422</v>
      </c>
      <c r="D146" s="5" t="s">
        <v>423</v>
      </c>
      <c r="E146" s="5" t="s">
        <v>424</v>
      </c>
      <c r="F146" s="20">
        <v>500</v>
      </c>
      <c r="G146" s="21">
        <f>F146/Supuestos!$B$34</f>
      </c>
      <c r="H146" s="22">
        <v>3.83</v>
      </c>
      <c r="I146" s="6">
        <f>F146*H146</f>
      </c>
      <c r="J146" s="6">
        <f>I146/Supuestos!$B$34</f>
      </c>
    </row>
    <row r="147" spans="1:10" x14ac:dyDescent="0.25">
      <c r="A147" s="5" t="s">
        <v>198</v>
      </c>
      <c r="B147" s="5" t="s">
        <v>413</v>
      </c>
      <c r="C147" s="5" t="s">
        <v>425</v>
      </c>
      <c r="D147" s="5" t="s">
        <v>426</v>
      </c>
      <c r="E147" s="5" t="s">
        <v>118</v>
      </c>
      <c r="F147" s="20">
        <v>16</v>
      </c>
      <c r="G147" s="21">
        <f>F147/Supuestos!$B$34</f>
      </c>
      <c r="H147" s="22">
        <v>8376.48</v>
      </c>
      <c r="I147" s="6">
        <f>F147*H147</f>
      </c>
      <c r="J147" s="6">
        <f>I147/Supuestos!$B$34</f>
      </c>
    </row>
    <row r="148" spans="1:10" x14ac:dyDescent="0.25">
      <c r="A148" s="5" t="s">
        <v>198</v>
      </c>
      <c r="B148" s="5" t="s">
        <v>413</v>
      </c>
      <c r="C148" s="5" t="s">
        <v>427</v>
      </c>
      <c r="D148" s="5" t="s">
        <v>428</v>
      </c>
      <c r="E148" s="5" t="s">
        <v>118</v>
      </c>
      <c r="F148" s="20">
        <v>32</v>
      </c>
      <c r="G148" s="21">
        <f>F148/Supuestos!$B$34</f>
      </c>
      <c r="H148" s="22">
        <v>12.7</v>
      </c>
      <c r="I148" s="6">
        <f>F148*H148</f>
      </c>
      <c r="J148" s="6">
        <f>I148/Supuestos!$B$34</f>
      </c>
    </row>
    <row r="149" spans="1:10" x14ac:dyDescent="0.25">
      <c r="A149" s="5" t="s">
        <v>198</v>
      </c>
      <c r="B149" s="5" t="s">
        <v>413</v>
      </c>
      <c r="C149" s="5" t="s">
        <v>429</v>
      </c>
      <c r="D149" s="5" t="s">
        <v>430</v>
      </c>
      <c r="E149" s="5" t="s">
        <v>118</v>
      </c>
      <c r="F149" s="20">
        <v>32</v>
      </c>
      <c r="G149" s="21">
        <f>F149/Supuestos!$B$34</f>
      </c>
      <c r="H149" s="22">
        <v>74.78</v>
      </c>
      <c r="I149" s="6">
        <f>F149*H149</f>
      </c>
      <c r="J149" s="6">
        <f>I149/Supuestos!$B$34</f>
      </c>
    </row>
    <row r="150" spans="1:10" x14ac:dyDescent="0.25">
      <c r="A150" s="5" t="s">
        <v>198</v>
      </c>
      <c r="B150" s="5" t="s">
        <v>413</v>
      </c>
      <c r="C150" s="5" t="s">
        <v>431</v>
      </c>
      <c r="D150" s="5" t="s">
        <v>432</v>
      </c>
      <c r="E150" s="5" t="s">
        <v>118</v>
      </c>
      <c r="F150" s="20">
        <v>32</v>
      </c>
      <c r="G150" s="21">
        <f>F150/Supuestos!$B$34</f>
      </c>
      <c r="H150" s="22">
        <v>222.29</v>
      </c>
      <c r="I150" s="6">
        <f>F150*H150</f>
      </c>
      <c r="J150" s="6">
        <f>I150/Supuestos!$B$34</f>
      </c>
    </row>
    <row r="151" spans="1:10" x14ac:dyDescent="0.25">
      <c r="A151" s="5" t="s">
        <v>198</v>
      </c>
      <c r="B151" s="5" t="s">
        <v>413</v>
      </c>
      <c r="C151" s="5" t="s">
        <v>433</v>
      </c>
      <c r="D151" s="5" t="s">
        <v>434</v>
      </c>
      <c r="E151" s="5" t="s">
        <v>118</v>
      </c>
      <c r="F151" s="20">
        <v>320</v>
      </c>
      <c r="G151" s="21">
        <f>F151/Supuestos!$B$34</f>
      </c>
      <c r="H151" s="22">
        <v>0.76</v>
      </c>
      <c r="I151" s="6">
        <f>F151*H151</f>
      </c>
      <c r="J151" s="6">
        <f>I151/Supuestos!$B$34</f>
      </c>
    </row>
    <row r="152" spans="1:10" x14ac:dyDescent="0.25">
      <c r="A152" s="5" t="s">
        <v>198</v>
      </c>
      <c r="B152" s="5" t="s">
        <v>413</v>
      </c>
      <c r="C152" s="5" t="s">
        <v>435</v>
      </c>
      <c r="D152" s="5" t="s">
        <v>436</v>
      </c>
      <c r="E152" s="5" t="s">
        <v>118</v>
      </c>
      <c r="F152" s="20">
        <v>32</v>
      </c>
      <c r="G152" s="21">
        <f>F152/Supuestos!$B$34</f>
      </c>
      <c r="H152" s="22">
        <v>199.3</v>
      </c>
      <c r="I152" s="6">
        <f>F152*H152</f>
      </c>
      <c r="J152" s="6">
        <f>I152/Supuestos!$B$34</f>
      </c>
    </row>
    <row r="153" spans="1:10" x14ac:dyDescent="0.25">
      <c r="A153" s="5" t="s">
        <v>198</v>
      </c>
      <c r="B153" s="5" t="s">
        <v>413</v>
      </c>
      <c r="C153" s="5" t="s">
        <v>437</v>
      </c>
      <c r="D153" s="5" t="s">
        <v>438</v>
      </c>
      <c r="E153" s="5" t="s">
        <v>118</v>
      </c>
      <c r="F153" s="20">
        <v>80</v>
      </c>
      <c r="G153" s="21">
        <f>F153/Supuestos!$B$34</f>
      </c>
      <c r="H153" s="22">
        <v>27.66</v>
      </c>
      <c r="I153" s="6">
        <f>F153*H153</f>
      </c>
      <c r="J153" s="6">
        <f>I153/Supuestos!$B$34</f>
      </c>
    </row>
    <row r="154" spans="1:10" x14ac:dyDescent="0.25">
      <c r="A154" s="5" t="s">
        <v>198</v>
      </c>
      <c r="B154" s="5" t="s">
        <v>413</v>
      </c>
      <c r="C154" s="5" t="s">
        <v>439</v>
      </c>
      <c r="D154" s="5" t="s">
        <v>440</v>
      </c>
      <c r="E154" s="5" t="s">
        <v>118</v>
      </c>
      <c r="F154" s="20">
        <v>32</v>
      </c>
      <c r="G154" s="21">
        <f>F154/Supuestos!$B$34</f>
      </c>
      <c r="H154" s="22">
        <v>21.5</v>
      </c>
      <c r="I154" s="6">
        <f>F154*H154</f>
      </c>
      <c r="J154" s="6">
        <f>I154/Supuestos!$B$34</f>
      </c>
    </row>
    <row r="155" spans="1:10" x14ac:dyDescent="0.25">
      <c r="A155" s="5" t="s">
        <v>198</v>
      </c>
      <c r="B155" s="5" t="s">
        <v>413</v>
      </c>
      <c r="C155" s="5" t="s">
        <v>441</v>
      </c>
      <c r="D155" s="5" t="s">
        <v>442</v>
      </c>
      <c r="E155" s="5" t="s">
        <v>118</v>
      </c>
      <c r="F155" s="20">
        <v>32</v>
      </c>
      <c r="G155" s="21">
        <f>F155/Supuestos!$B$34</f>
      </c>
      <c r="H155" s="22">
        <v>76.31</v>
      </c>
      <c r="I155" s="6">
        <f>F155*H155</f>
      </c>
      <c r="J155" s="6">
        <f>I155/Supuestos!$B$34</f>
      </c>
    </row>
    <row r="156" spans="1:10" x14ac:dyDescent="0.25">
      <c r="A156" s="5" t="s">
        <v>198</v>
      </c>
      <c r="B156" s="5" t="s">
        <v>413</v>
      </c>
      <c r="C156" s="5" t="s">
        <v>443</v>
      </c>
      <c r="D156" s="5" t="s">
        <v>444</v>
      </c>
      <c r="E156" s="5" t="s">
        <v>128</v>
      </c>
      <c r="F156" s="20">
        <v>224</v>
      </c>
      <c r="G156" s="21">
        <f>F156/Supuestos!$B$34</f>
      </c>
      <c r="H156" s="22">
        <v>13.73</v>
      </c>
      <c r="I156" s="6">
        <f>F156*H156</f>
      </c>
      <c r="J156" s="6">
        <f>I156/Supuestos!$B$34</f>
      </c>
    </row>
    <row r="157" spans="1:10" x14ac:dyDescent="0.25">
      <c r="A157" s="5" t="s">
        <v>198</v>
      </c>
      <c r="B157" s="5" t="s">
        <v>413</v>
      </c>
      <c r="C157" s="5" t="s">
        <v>445</v>
      </c>
      <c r="D157" s="5" t="s">
        <v>446</v>
      </c>
      <c r="E157" s="5" t="s">
        <v>128</v>
      </c>
      <c r="F157" s="20">
        <v>192</v>
      </c>
      <c r="G157" s="21">
        <f>F157/Supuestos!$B$34</f>
      </c>
      <c r="H157" s="22">
        <v>31.39</v>
      </c>
      <c r="I157" s="6">
        <f>F157*H157</f>
      </c>
      <c r="J157" s="6">
        <f>I157/Supuestos!$B$34</f>
      </c>
    </row>
    <row r="158" spans="1:10" x14ac:dyDescent="0.25">
      <c r="A158" s="5" t="s">
        <v>198</v>
      </c>
      <c r="B158" s="5" t="s">
        <v>413</v>
      </c>
      <c r="C158" s="5" t="s">
        <v>447</v>
      </c>
      <c r="D158" s="5" t="s">
        <v>448</v>
      </c>
      <c r="E158" s="5" t="s">
        <v>118</v>
      </c>
      <c r="F158" s="20">
        <v>16</v>
      </c>
      <c r="G158" s="21">
        <f>F158/Supuestos!$B$34</f>
      </c>
      <c r="H158" s="22">
        <v>75.91</v>
      </c>
      <c r="I158" s="6">
        <f>F158*H158</f>
      </c>
      <c r="J158" s="6">
        <f>I158/Supuestos!$B$34</f>
      </c>
    </row>
    <row r="159" spans="1:10" x14ac:dyDescent="0.25">
      <c r="A159" s="5" t="s">
        <v>198</v>
      </c>
      <c r="B159" s="5" t="s">
        <v>413</v>
      </c>
      <c r="C159" s="5" t="s">
        <v>449</v>
      </c>
      <c r="D159" s="5" t="s">
        <v>450</v>
      </c>
      <c r="E159" s="5" t="s">
        <v>118</v>
      </c>
      <c r="F159" s="20">
        <v>16</v>
      </c>
      <c r="G159" s="21">
        <f>F159/Supuestos!$B$34</f>
      </c>
      <c r="H159" s="22">
        <v>21.4</v>
      </c>
      <c r="I159" s="6">
        <f>F159*H159</f>
      </c>
      <c r="J159" s="6">
        <f>I159/Supuestos!$B$34</f>
      </c>
    </row>
    <row r="160" spans="1:10" x14ac:dyDescent="0.25">
      <c r="A160" s="5" t="s">
        <v>198</v>
      </c>
      <c r="B160" s="5" t="s">
        <v>413</v>
      </c>
      <c r="C160" s="5" t="s">
        <v>451</v>
      </c>
      <c r="D160" s="5" t="s">
        <v>452</v>
      </c>
      <c r="E160" s="5" t="s">
        <v>118</v>
      </c>
      <c r="F160" s="20">
        <v>16</v>
      </c>
      <c r="G160" s="21">
        <f>F160/Supuestos!$B$34</f>
      </c>
      <c r="H160" s="22">
        <v>9.05</v>
      </c>
      <c r="I160" s="6">
        <f>F160*H160</f>
      </c>
      <c r="J160" s="6">
        <f>I160/Supuestos!$B$34</f>
      </c>
    </row>
    <row r="161" spans="1:10" x14ac:dyDescent="0.25">
      <c r="A161" s="5" t="s">
        <v>198</v>
      </c>
      <c r="B161" s="5" t="s">
        <v>413</v>
      </c>
      <c r="C161" s="5" t="s">
        <v>453</v>
      </c>
      <c r="D161" s="5" t="s">
        <v>454</v>
      </c>
      <c r="E161" s="5" t="s">
        <v>118</v>
      </c>
      <c r="F161" s="20">
        <v>16</v>
      </c>
      <c r="G161" s="21">
        <f>F161/Supuestos!$B$34</f>
      </c>
      <c r="H161" s="22">
        <v>595.34</v>
      </c>
      <c r="I161" s="6">
        <f>F161*H161</f>
      </c>
      <c r="J161" s="6">
        <f>I161/Supuestos!$B$34</f>
      </c>
    </row>
    <row r="162" spans="1:10" x14ac:dyDescent="0.25">
      <c r="A162" s="5" t="s">
        <v>198</v>
      </c>
      <c r="B162" s="5" t="s">
        <v>413</v>
      </c>
      <c r="C162" s="5" t="s">
        <v>455</v>
      </c>
      <c r="D162" s="5" t="s">
        <v>456</v>
      </c>
      <c r="E162" s="5" t="s">
        <v>118</v>
      </c>
      <c r="F162" s="20">
        <v>16</v>
      </c>
      <c r="G162" s="21">
        <f>F162/Supuestos!$B$34</f>
      </c>
      <c r="H162" s="22">
        <v>263.23</v>
      </c>
      <c r="I162" s="6">
        <f>F162*H162</f>
      </c>
      <c r="J162" s="6">
        <f>I162/Supuestos!$B$34</f>
      </c>
    </row>
    <row r="163" spans="1:10" x14ac:dyDescent="0.25">
      <c r="A163" s="5" t="s">
        <v>198</v>
      </c>
      <c r="B163" s="5" t="s">
        <v>413</v>
      </c>
      <c r="C163" s="5" t="s">
        <v>457</v>
      </c>
      <c r="D163" s="5" t="s">
        <v>458</v>
      </c>
      <c r="E163" s="5" t="s">
        <v>118</v>
      </c>
      <c r="F163" s="20">
        <v>16</v>
      </c>
      <c r="G163" s="21">
        <f>F163/Supuestos!$B$34</f>
      </c>
      <c r="H163" s="22">
        <v>402.36</v>
      </c>
      <c r="I163" s="6">
        <f>F163*H163</f>
      </c>
      <c r="J163" s="6">
        <f>I163/Supuestos!$B$34</f>
      </c>
    </row>
    <row r="164" spans="1:10" x14ac:dyDescent="0.25">
      <c r="A164" s="5" t="s">
        <v>198</v>
      </c>
      <c r="B164" s="5" t="s">
        <v>413</v>
      </c>
      <c r="C164" s="5" t="s">
        <v>459</v>
      </c>
      <c r="D164" s="5" t="s">
        <v>460</v>
      </c>
      <c r="E164" s="5" t="s">
        <v>118</v>
      </c>
      <c r="F164" s="20">
        <v>16</v>
      </c>
      <c r="G164" s="21">
        <f>F164/Supuestos!$B$34</f>
      </c>
      <c r="H164" s="22">
        <v>360.24</v>
      </c>
      <c r="I164" s="6">
        <f>F164*H164</f>
      </c>
      <c r="J164" s="6">
        <f>I164/Supuestos!$B$34</f>
      </c>
    </row>
    <row r="165" spans="1:10" x14ac:dyDescent="0.25">
      <c r="A165" s="5" t="s">
        <v>198</v>
      </c>
      <c r="B165" s="5" t="s">
        <v>413</v>
      </c>
      <c r="C165" s="5" t="s">
        <v>461</v>
      </c>
      <c r="D165" s="5" t="s">
        <v>462</v>
      </c>
      <c r="E165" s="5" t="s">
        <v>118</v>
      </c>
      <c r="F165" s="20">
        <v>16</v>
      </c>
      <c r="G165" s="21">
        <f>F165/Supuestos!$B$34</f>
      </c>
      <c r="H165" s="22">
        <v>75.96</v>
      </c>
      <c r="I165" s="6">
        <f>F165*H165</f>
      </c>
      <c r="J165" s="6">
        <f>I165/Supuestos!$B$34</f>
      </c>
    </row>
    <row r="166" spans="1:10" x14ac:dyDescent="0.25">
      <c r="A166" s="5" t="s">
        <v>198</v>
      </c>
      <c r="B166" s="5" t="s">
        <v>413</v>
      </c>
      <c r="C166" s="5" t="s">
        <v>463</v>
      </c>
      <c r="D166" s="5" t="s">
        <v>464</v>
      </c>
      <c r="E166" s="5" t="s">
        <v>128</v>
      </c>
      <c r="F166" s="20">
        <v>552</v>
      </c>
      <c r="G166" s="21">
        <f>F166/Supuestos!$B$34</f>
      </c>
      <c r="H166" s="22">
        <v>15.8</v>
      </c>
      <c r="I166" s="6">
        <f>F166*H166</f>
      </c>
      <c r="J166" s="6">
        <f>I166/Supuestos!$B$34</f>
      </c>
    </row>
    <row r="167" spans="1:10" x14ac:dyDescent="0.25">
      <c r="A167" s="5" t="s">
        <v>198</v>
      </c>
      <c r="B167" s="5" t="s">
        <v>413</v>
      </c>
      <c r="C167" s="5" t="s">
        <v>465</v>
      </c>
      <c r="D167" s="5" t="s">
        <v>466</v>
      </c>
      <c r="E167" s="5" t="s">
        <v>128</v>
      </c>
      <c r="F167" s="20">
        <v>208</v>
      </c>
      <c r="G167" s="21">
        <f>F167/Supuestos!$B$34</f>
      </c>
      <c r="H167" s="22">
        <v>14.31</v>
      </c>
      <c r="I167" s="6">
        <f>F167*H167</f>
      </c>
      <c r="J167" s="6">
        <f>I167/Supuestos!$B$34</f>
      </c>
    </row>
    <row r="168" spans="1:10" x14ac:dyDescent="0.25">
      <c r="A168" s="5" t="s">
        <v>198</v>
      </c>
      <c r="B168" s="5" t="s">
        <v>413</v>
      </c>
      <c r="C168" s="5" t="s">
        <v>467</v>
      </c>
      <c r="D168" s="5" t="s">
        <v>468</v>
      </c>
      <c r="E168" s="5" t="s">
        <v>128</v>
      </c>
      <c r="F168" s="20">
        <v>336</v>
      </c>
      <c r="G168" s="21">
        <f>F168/Supuestos!$B$34</f>
      </c>
      <c r="H168" s="22">
        <v>21.22</v>
      </c>
      <c r="I168" s="6">
        <f>F168*H168</f>
      </c>
      <c r="J168" s="6">
        <f>I168/Supuestos!$B$34</f>
      </c>
    </row>
    <row r="169" spans="1:10" x14ac:dyDescent="0.25">
      <c r="A169" s="5" t="s">
        <v>198</v>
      </c>
      <c r="B169" s="5" t="s">
        <v>413</v>
      </c>
      <c r="C169" s="5" t="s">
        <v>469</v>
      </c>
      <c r="D169" s="5" t="s">
        <v>470</v>
      </c>
      <c r="E169" s="5" t="s">
        <v>118</v>
      </c>
      <c r="F169" s="20">
        <v>80</v>
      </c>
      <c r="G169" s="21">
        <f>F169/Supuestos!$B$34</f>
      </c>
      <c r="H169" s="22">
        <v>68.27</v>
      </c>
      <c r="I169" s="6">
        <f>F169*H169</f>
      </c>
      <c r="J169" s="6">
        <f>I169/Supuestos!$B$34</f>
      </c>
    </row>
    <row r="170" spans="1:10" x14ac:dyDescent="0.25">
      <c r="A170" s="5" t="s">
        <v>198</v>
      </c>
      <c r="B170" s="5" t="s">
        <v>413</v>
      </c>
      <c r="C170" s="5" t="s">
        <v>471</v>
      </c>
      <c r="D170" s="5" t="s">
        <v>472</v>
      </c>
      <c r="E170" s="5" t="s">
        <v>118</v>
      </c>
      <c r="F170" s="20">
        <v>80</v>
      </c>
      <c r="G170" s="21">
        <f>F170/Supuestos!$B$34</f>
      </c>
      <c r="H170" s="22">
        <v>5.47</v>
      </c>
      <c r="I170" s="6">
        <f>F170*H170</f>
      </c>
      <c r="J170" s="6">
        <f>I170/Supuestos!$B$34</f>
      </c>
    </row>
    <row r="171" spans="1:10" x14ac:dyDescent="0.25">
      <c r="A171" s="5" t="s">
        <v>198</v>
      </c>
      <c r="B171" s="5" t="s">
        <v>413</v>
      </c>
      <c r="C171" s="5" t="s">
        <v>473</v>
      </c>
      <c r="D171" s="5" t="s">
        <v>474</v>
      </c>
      <c r="E171" s="5" t="s">
        <v>118</v>
      </c>
      <c r="F171" s="20">
        <v>16</v>
      </c>
      <c r="G171" s="21">
        <f>F171/Supuestos!$B$34</f>
      </c>
      <c r="H171" s="22">
        <v>214.34</v>
      </c>
      <c r="I171" s="6">
        <f>F171*H171</f>
      </c>
      <c r="J171" s="6">
        <f>I171/Supuestos!$B$34</f>
      </c>
    </row>
    <row r="172" spans="1:10" x14ac:dyDescent="0.25">
      <c r="A172" s="5" t="s">
        <v>198</v>
      </c>
      <c r="B172" s="5" t="s">
        <v>475</v>
      </c>
      <c r="C172" s="5" t="s">
        <v>476</v>
      </c>
      <c r="D172" s="5" t="s">
        <v>477</v>
      </c>
      <c r="E172" s="5" t="s">
        <v>118</v>
      </c>
      <c r="F172" s="20">
        <v>9</v>
      </c>
      <c r="G172" s="21">
        <f>F172/Supuestos!$B$34</f>
      </c>
      <c r="H172" s="22">
        <v>344.17</v>
      </c>
      <c r="I172" s="6">
        <f>F172*H172</f>
      </c>
      <c r="J172" s="6">
        <f>I172/Supuestos!$B$34</f>
      </c>
    </row>
    <row r="173" spans="1:10" x14ac:dyDescent="0.25">
      <c r="A173" s="5" t="s">
        <v>198</v>
      </c>
      <c r="B173" s="5" t="s">
        <v>475</v>
      </c>
      <c r="C173" s="5" t="s">
        <v>478</v>
      </c>
      <c r="D173" s="5" t="s">
        <v>479</v>
      </c>
      <c r="E173" s="5" t="s">
        <v>118</v>
      </c>
      <c r="F173" s="20">
        <v>16</v>
      </c>
      <c r="G173" s="21">
        <f>F173/Supuestos!$B$34</f>
      </c>
      <c r="H173" s="22">
        <v>169.68</v>
      </c>
      <c r="I173" s="6">
        <f>F173*H173</f>
      </c>
      <c r="J173" s="6">
        <f>I173/Supuestos!$B$34</f>
      </c>
    </row>
    <row r="174" spans="1:10" x14ac:dyDescent="0.25">
      <c r="A174" s="5" t="s">
        <v>198</v>
      </c>
      <c r="B174" s="5" t="s">
        <v>475</v>
      </c>
      <c r="C174" s="5" t="s">
        <v>480</v>
      </c>
      <c r="D174" s="5" t="s">
        <v>481</v>
      </c>
      <c r="E174" s="5" t="s">
        <v>118</v>
      </c>
      <c r="F174" s="20">
        <v>16</v>
      </c>
      <c r="G174" s="21">
        <f>F174/Supuestos!$B$34</f>
      </c>
      <c r="H174" s="22">
        <v>169.52</v>
      </c>
      <c r="I174" s="6">
        <f>F174*H174</f>
      </c>
      <c r="J174" s="6">
        <f>I174/Supuestos!$B$34</f>
      </c>
    </row>
    <row r="175" spans="1:10" x14ac:dyDescent="0.25">
      <c r="A175" s="23" t="s">
        <v>482</v>
      </c>
      <c r="B175" s="23" t="s">
        <v>483</v>
      </c>
      <c r="C175" s="23" t="s">
        <v>484</v>
      </c>
      <c r="D175" s="23" t="s">
        <v>485</v>
      </c>
      <c r="E175" s="23" t="s">
        <v>136</v>
      </c>
      <c r="F175" s="24">
        <v>20</v>
      </c>
      <c r="G175" s="24">
        <f>F175/Supuestos!$B$34</f>
      </c>
      <c r="H175" s="25">
        <v>53.41</v>
      </c>
      <c r="I175" s="26">
        <f>F175*H175</f>
      </c>
      <c r="J175" s="26">
        <f>I175/Supuestos!$B$34</f>
      </c>
    </row>
    <row r="176" spans="1:10" x14ac:dyDescent="0.25">
      <c r="A176" s="23" t="s">
        <v>482</v>
      </c>
      <c r="B176" s="23" t="s">
        <v>483</v>
      </c>
      <c r="C176" s="23" t="s">
        <v>486</v>
      </c>
      <c r="D176" s="23" t="s">
        <v>487</v>
      </c>
      <c r="E176" s="23" t="s">
        <v>118</v>
      </c>
      <c r="F176" s="24">
        <v>4</v>
      </c>
      <c r="G176" s="24">
        <f>F176/Supuestos!$B$34</f>
      </c>
      <c r="H176" s="25">
        <v>177.3</v>
      </c>
      <c r="I176" s="26">
        <f>F176*H176</f>
      </c>
      <c r="J176" s="26">
        <f>I176/Supuestos!$B$34</f>
      </c>
    </row>
    <row r="177" spans="1:10" x14ac:dyDescent="0.25">
      <c r="A177" s="23" t="s">
        <v>482</v>
      </c>
      <c r="B177" s="23" t="s">
        <v>483</v>
      </c>
      <c r="C177" s="23" t="s">
        <v>488</v>
      </c>
      <c r="D177" s="23" t="s">
        <v>489</v>
      </c>
      <c r="E177" s="23" t="s">
        <v>490</v>
      </c>
      <c r="F177" s="24">
        <v>12.43</v>
      </c>
      <c r="G177" s="24">
        <f>F177/Supuestos!$B$34</f>
      </c>
      <c r="H177" s="25">
        <v>40.32</v>
      </c>
      <c r="I177" s="26">
        <f>F177*H177</f>
      </c>
      <c r="J177" s="26">
        <f>I177/Supuestos!$B$34</f>
      </c>
    </row>
    <row r="178" spans="1:10" x14ac:dyDescent="0.25">
      <c r="A178" s="23" t="s">
        <v>482</v>
      </c>
      <c r="B178" s="23" t="s">
        <v>483</v>
      </c>
      <c r="C178" s="23" t="s">
        <v>491</v>
      </c>
      <c r="D178" s="23" t="s">
        <v>492</v>
      </c>
      <c r="E178" s="23" t="s">
        <v>136</v>
      </c>
      <c r="F178" s="24">
        <v>447.95</v>
      </c>
      <c r="G178" s="24">
        <f>F178/Supuestos!$B$34</f>
      </c>
      <c r="H178" s="25">
        <v>7.75</v>
      </c>
      <c r="I178" s="26">
        <f>F178*H178</f>
      </c>
      <c r="J178" s="26">
        <f>I178/Supuestos!$B$34</f>
      </c>
    </row>
    <row r="179" spans="1:10" x14ac:dyDescent="0.25">
      <c r="A179" s="23" t="s">
        <v>482</v>
      </c>
      <c r="B179" s="23" t="s">
        <v>483</v>
      </c>
      <c r="C179" s="23" t="s">
        <v>493</v>
      </c>
      <c r="D179" s="23" t="s">
        <v>494</v>
      </c>
      <c r="E179" s="23" t="s">
        <v>136</v>
      </c>
      <c r="F179" s="24">
        <v>7328.36</v>
      </c>
      <c r="G179" s="24">
        <f>F179/Supuestos!$B$34</f>
      </c>
      <c r="H179" s="25">
        <v>2.77</v>
      </c>
      <c r="I179" s="26">
        <f>F179*H179</f>
      </c>
      <c r="J179" s="26">
        <f>I179/Supuestos!$B$34</f>
      </c>
    </row>
    <row r="180" spans="1:10" x14ac:dyDescent="0.25">
      <c r="A180" s="23" t="s">
        <v>482</v>
      </c>
      <c r="B180" s="23" t="s">
        <v>495</v>
      </c>
      <c r="C180" s="23" t="s">
        <v>496</v>
      </c>
      <c r="D180" s="23" t="s">
        <v>497</v>
      </c>
      <c r="E180" s="23" t="s">
        <v>490</v>
      </c>
      <c r="F180" s="24">
        <v>140</v>
      </c>
      <c r="G180" s="24">
        <f>F180/Supuestos!$B$34</f>
      </c>
      <c r="H180" s="25">
        <v>2.36</v>
      </c>
      <c r="I180" s="26">
        <f>F180*H180</f>
      </c>
      <c r="J180" s="26">
        <f>I180/Supuestos!$B$34</f>
      </c>
    </row>
    <row r="181" spans="1:10" x14ac:dyDescent="0.25">
      <c r="A181" s="23" t="s">
        <v>482</v>
      </c>
      <c r="B181" s="23" t="s">
        <v>495</v>
      </c>
      <c r="C181" s="23" t="s">
        <v>498</v>
      </c>
      <c r="D181" s="23" t="s">
        <v>499</v>
      </c>
      <c r="E181" s="23" t="s">
        <v>490</v>
      </c>
      <c r="F181" s="24">
        <v>265.92</v>
      </c>
      <c r="G181" s="24">
        <f>F181/Supuestos!$B$34</f>
      </c>
      <c r="H181" s="25">
        <v>11.1</v>
      </c>
      <c r="I181" s="26">
        <f>F181*H181</f>
      </c>
      <c r="J181" s="26">
        <f>I181/Supuestos!$B$34</f>
      </c>
    </row>
    <row r="182" spans="1:10" x14ac:dyDescent="0.25">
      <c r="A182" s="23" t="s">
        <v>482</v>
      </c>
      <c r="B182" s="23" t="s">
        <v>495</v>
      </c>
      <c r="C182" s="23" t="s">
        <v>500</v>
      </c>
      <c r="D182" s="23" t="s">
        <v>501</v>
      </c>
      <c r="E182" s="23" t="s">
        <v>490</v>
      </c>
      <c r="F182" s="24">
        <v>194.3</v>
      </c>
      <c r="G182" s="24">
        <f>F182/Supuestos!$B$34</f>
      </c>
      <c r="H182" s="25">
        <v>9.56</v>
      </c>
      <c r="I182" s="26">
        <f>F182*H182</f>
      </c>
      <c r="J182" s="26">
        <f>I182/Supuestos!$B$34</f>
      </c>
    </row>
    <row r="183" spans="1:10" x14ac:dyDescent="0.25">
      <c r="A183" s="23" t="s">
        <v>482</v>
      </c>
      <c r="B183" s="23" t="s">
        <v>495</v>
      </c>
      <c r="C183" s="23" t="s">
        <v>502</v>
      </c>
      <c r="D183" s="23" t="s">
        <v>503</v>
      </c>
      <c r="E183" s="23" t="s">
        <v>490</v>
      </c>
      <c r="F183" s="24">
        <v>233</v>
      </c>
      <c r="G183" s="24">
        <f>F183/Supuestos!$B$34</f>
      </c>
      <c r="H183" s="25">
        <v>12.01</v>
      </c>
      <c r="I183" s="26">
        <f>F183*H183</f>
      </c>
      <c r="J183" s="26">
        <f>I183/Supuestos!$B$34</f>
      </c>
    </row>
    <row r="184" spans="1:10" x14ac:dyDescent="0.25">
      <c r="A184" s="23" t="s">
        <v>482</v>
      </c>
      <c r="B184" s="23" t="s">
        <v>495</v>
      </c>
      <c r="C184" s="23" t="s">
        <v>504</v>
      </c>
      <c r="D184" s="23" t="s">
        <v>505</v>
      </c>
      <c r="E184" s="23" t="s">
        <v>490</v>
      </c>
      <c r="F184" s="24">
        <v>7681.48</v>
      </c>
      <c r="G184" s="24">
        <f>F184/Supuestos!$B$34</f>
      </c>
      <c r="H184" s="25">
        <v>8.69</v>
      </c>
      <c r="I184" s="26">
        <f>F184*H184</f>
      </c>
      <c r="J184" s="26">
        <f>I184/Supuestos!$B$34</f>
      </c>
    </row>
    <row r="185" spans="1:10" x14ac:dyDescent="0.25">
      <c r="A185" s="23" t="s">
        <v>482</v>
      </c>
      <c r="B185" s="23" t="s">
        <v>125</v>
      </c>
      <c r="C185" s="23" t="s">
        <v>506</v>
      </c>
      <c r="D185" s="23" t="s">
        <v>507</v>
      </c>
      <c r="E185" s="23" t="s">
        <v>118</v>
      </c>
      <c r="F185" s="24">
        <v>33</v>
      </c>
      <c r="G185" s="24">
        <f>F185/Supuestos!$B$34</f>
      </c>
      <c r="H185" s="25">
        <v>699.92</v>
      </c>
      <c r="I185" s="26">
        <f>F185*H185</f>
      </c>
      <c r="J185" s="26">
        <f>I185/Supuestos!$B$34</f>
      </c>
    </row>
    <row r="186" spans="1:10" x14ac:dyDescent="0.25">
      <c r="A186" s="23" t="s">
        <v>482</v>
      </c>
      <c r="B186" s="23" t="s">
        <v>125</v>
      </c>
      <c r="C186" s="23" t="s">
        <v>508</v>
      </c>
      <c r="D186" s="23" t="s">
        <v>509</v>
      </c>
      <c r="E186" s="23" t="s">
        <v>118</v>
      </c>
      <c r="F186" s="24">
        <v>33</v>
      </c>
      <c r="G186" s="24">
        <f>F186/Supuestos!$B$34</f>
      </c>
      <c r="H186" s="25">
        <v>148.82</v>
      </c>
      <c r="I186" s="26">
        <f>F186*H186</f>
      </c>
      <c r="J186" s="26">
        <f>I186/Supuestos!$B$34</f>
      </c>
    </row>
    <row r="187" spans="1:10" x14ac:dyDescent="0.25">
      <c r="A187" s="23" t="s">
        <v>482</v>
      </c>
      <c r="B187" s="23" t="s">
        <v>125</v>
      </c>
      <c r="C187" s="23" t="s">
        <v>510</v>
      </c>
      <c r="D187" s="23" t="s">
        <v>511</v>
      </c>
      <c r="E187" s="23" t="s">
        <v>128</v>
      </c>
      <c r="F187" s="24">
        <v>181.15</v>
      </c>
      <c r="G187" s="24">
        <f>F187/Supuestos!$B$34</f>
      </c>
      <c r="H187" s="25">
        <v>82.99</v>
      </c>
      <c r="I187" s="26">
        <f>F187*H187</f>
      </c>
      <c r="J187" s="26">
        <f>I187/Supuestos!$B$34</f>
      </c>
    </row>
    <row r="188" spans="1:10" x14ac:dyDescent="0.25">
      <c r="A188" s="23" t="s">
        <v>482</v>
      </c>
      <c r="B188" s="23" t="s">
        <v>125</v>
      </c>
      <c r="C188" s="23" t="s">
        <v>512</v>
      </c>
      <c r="D188" s="23" t="s">
        <v>513</v>
      </c>
      <c r="E188" s="23" t="s">
        <v>118</v>
      </c>
      <c r="F188" s="24">
        <v>33</v>
      </c>
      <c r="G188" s="24">
        <f>F188/Supuestos!$B$34</f>
      </c>
      <c r="H188" s="25">
        <v>122.38</v>
      </c>
      <c r="I188" s="26">
        <f>F188*H188</f>
      </c>
      <c r="J188" s="26">
        <f>I188/Supuestos!$B$34</f>
      </c>
    </row>
    <row r="189" spans="1:10" x14ac:dyDescent="0.25">
      <c r="A189" s="23" t="s">
        <v>482</v>
      </c>
      <c r="B189" s="23" t="s">
        <v>125</v>
      </c>
      <c r="C189" s="23" t="s">
        <v>514</v>
      </c>
      <c r="D189" s="23" t="s">
        <v>515</v>
      </c>
      <c r="E189" s="23" t="s">
        <v>118</v>
      </c>
      <c r="F189" s="24">
        <v>68</v>
      </c>
      <c r="G189" s="24">
        <f>F189/Supuestos!$B$34</f>
      </c>
      <c r="H189" s="25">
        <v>124.39</v>
      </c>
      <c r="I189" s="26">
        <f>F189*H189</f>
      </c>
      <c r="J189" s="26">
        <f>I189/Supuestos!$B$34</f>
      </c>
    </row>
    <row r="190" spans="1:10" x14ac:dyDescent="0.25">
      <c r="A190" s="23" t="s">
        <v>482</v>
      </c>
      <c r="B190" s="23" t="s">
        <v>125</v>
      </c>
      <c r="C190" s="23" t="s">
        <v>516</v>
      </c>
      <c r="D190" s="23" t="s">
        <v>517</v>
      </c>
      <c r="E190" s="23" t="s">
        <v>128</v>
      </c>
      <c r="F190" s="24">
        <v>124</v>
      </c>
      <c r="G190" s="24">
        <f>F190/Supuestos!$B$34</f>
      </c>
      <c r="H190" s="25">
        <v>11.81</v>
      </c>
      <c r="I190" s="26">
        <f>F190*H190</f>
      </c>
      <c r="J190" s="26">
        <f>I190/Supuestos!$B$34</f>
      </c>
    </row>
    <row r="191" spans="1:10" x14ac:dyDescent="0.25">
      <c r="A191" s="23" t="s">
        <v>482</v>
      </c>
      <c r="B191" s="23" t="s">
        <v>125</v>
      </c>
      <c r="C191" s="23" t="s">
        <v>518</v>
      </c>
      <c r="D191" s="23" t="s">
        <v>519</v>
      </c>
      <c r="E191" s="23" t="s">
        <v>128</v>
      </c>
      <c r="F191" s="24">
        <v>221.3</v>
      </c>
      <c r="G191" s="24">
        <f>F191/Supuestos!$B$34</f>
      </c>
      <c r="H191" s="25">
        <v>13.41</v>
      </c>
      <c r="I191" s="26">
        <f>F191*H191</f>
      </c>
      <c r="J191" s="26">
        <f>I191/Supuestos!$B$34</f>
      </c>
    </row>
    <row r="192" spans="1:10" x14ac:dyDescent="0.25">
      <c r="A192" s="23" t="s">
        <v>482</v>
      </c>
      <c r="B192" s="23" t="s">
        <v>125</v>
      </c>
      <c r="C192" s="23" t="s">
        <v>520</v>
      </c>
      <c r="D192" s="23" t="s">
        <v>521</v>
      </c>
      <c r="E192" s="23" t="s">
        <v>128</v>
      </c>
      <c r="F192" s="24">
        <v>255.1</v>
      </c>
      <c r="G192" s="24">
        <f>F192/Supuestos!$B$34</f>
      </c>
      <c r="H192" s="25">
        <v>17.16</v>
      </c>
      <c r="I192" s="26">
        <f>F192*H192</f>
      </c>
      <c r="J192" s="26">
        <f>I192/Supuestos!$B$34</f>
      </c>
    </row>
    <row r="193" spans="1:10" x14ac:dyDescent="0.25">
      <c r="A193" s="23" t="s">
        <v>482</v>
      </c>
      <c r="B193" s="23" t="s">
        <v>125</v>
      </c>
      <c r="C193" s="23" t="s">
        <v>522</v>
      </c>
      <c r="D193" s="23" t="s">
        <v>523</v>
      </c>
      <c r="E193" s="23" t="s">
        <v>128</v>
      </c>
      <c r="F193" s="24">
        <v>15</v>
      </c>
      <c r="G193" s="24">
        <f>F193/Supuestos!$B$34</f>
      </c>
      <c r="H193" s="25">
        <v>30.24</v>
      </c>
      <c r="I193" s="26">
        <f>F193*H193</f>
      </c>
      <c r="J193" s="26">
        <f>I193/Supuestos!$B$34</f>
      </c>
    </row>
    <row r="194" spans="1:10" x14ac:dyDescent="0.25">
      <c r="A194" s="23" t="s">
        <v>482</v>
      </c>
      <c r="B194" s="23" t="s">
        <v>125</v>
      </c>
      <c r="C194" s="23" t="s">
        <v>524</v>
      </c>
      <c r="D194" s="23" t="s">
        <v>525</v>
      </c>
      <c r="E194" s="23" t="s">
        <v>118</v>
      </c>
      <c r="F194" s="24">
        <v>82</v>
      </c>
      <c r="G194" s="24">
        <f>F194/Supuestos!$B$34</f>
      </c>
      <c r="H194" s="25">
        <v>21.78</v>
      </c>
      <c r="I194" s="26">
        <f>F194*H194</f>
      </c>
      <c r="J194" s="26">
        <f>I194/Supuestos!$B$34</f>
      </c>
    </row>
    <row r="195" spans="1:10" x14ac:dyDescent="0.25">
      <c r="A195" s="23" t="s">
        <v>482</v>
      </c>
      <c r="B195" s="23" t="s">
        <v>125</v>
      </c>
      <c r="C195" s="23" t="s">
        <v>526</v>
      </c>
      <c r="D195" s="23" t="s">
        <v>527</v>
      </c>
      <c r="E195" s="23" t="s">
        <v>118</v>
      </c>
      <c r="F195" s="24">
        <v>18</v>
      </c>
      <c r="G195" s="24">
        <f>F195/Supuestos!$B$34</f>
      </c>
      <c r="H195" s="25">
        <v>10.02</v>
      </c>
      <c r="I195" s="26">
        <f>F195*H195</f>
      </c>
      <c r="J195" s="26">
        <f>I195/Supuestos!$B$34</f>
      </c>
    </row>
    <row r="196" spans="1:10" x14ac:dyDescent="0.25">
      <c r="A196" s="23" t="s">
        <v>482</v>
      </c>
      <c r="B196" s="23" t="s">
        <v>125</v>
      </c>
      <c r="C196" s="23" t="s">
        <v>528</v>
      </c>
      <c r="D196" s="23" t="s">
        <v>529</v>
      </c>
      <c r="E196" s="23" t="s">
        <v>118</v>
      </c>
      <c r="F196" s="24">
        <v>1</v>
      </c>
      <c r="G196" s="24">
        <f>F196/Supuestos!$B$34</f>
      </c>
      <c r="H196" s="25">
        <v>10.41</v>
      </c>
      <c r="I196" s="26">
        <f>F196*H196</f>
      </c>
      <c r="J196" s="26">
        <f>I196/Supuestos!$B$34</f>
      </c>
    </row>
    <row r="197" spans="1:10" x14ac:dyDescent="0.25">
      <c r="A197" s="23" t="s">
        <v>482</v>
      </c>
      <c r="B197" s="23" t="s">
        <v>125</v>
      </c>
      <c r="C197" s="23" t="s">
        <v>530</v>
      </c>
      <c r="D197" s="23" t="s">
        <v>531</v>
      </c>
      <c r="E197" s="23" t="s">
        <v>118</v>
      </c>
      <c r="F197" s="24">
        <v>53</v>
      </c>
      <c r="G197" s="24">
        <f>F197/Supuestos!$B$34</f>
      </c>
      <c r="H197" s="25">
        <v>17.83</v>
      </c>
      <c r="I197" s="26">
        <f>F197*H197</f>
      </c>
      <c r="J197" s="26">
        <f>I197/Supuestos!$B$34</f>
      </c>
    </row>
    <row r="198" spans="1:10" x14ac:dyDescent="0.25">
      <c r="A198" s="23" t="s">
        <v>482</v>
      </c>
      <c r="B198" s="23" t="s">
        <v>133</v>
      </c>
      <c r="C198" s="23" t="s">
        <v>532</v>
      </c>
      <c r="D198" s="23" t="s">
        <v>533</v>
      </c>
      <c r="E198" s="23" t="s">
        <v>490</v>
      </c>
      <c r="F198" s="24">
        <v>194.83</v>
      </c>
      <c r="G198" s="24">
        <f>F198/Supuestos!$B$34</f>
      </c>
      <c r="H198" s="25">
        <v>70.73</v>
      </c>
      <c r="I198" s="26">
        <f>F198*H198</f>
      </c>
      <c r="J198" s="26">
        <f>I198/Supuestos!$B$34</f>
      </c>
    </row>
    <row r="199" spans="1:10" x14ac:dyDescent="0.25">
      <c r="A199" s="23" t="s">
        <v>482</v>
      </c>
      <c r="B199" s="23" t="s">
        <v>133</v>
      </c>
      <c r="C199" s="23" t="s">
        <v>534</v>
      </c>
      <c r="D199" s="23" t="s">
        <v>535</v>
      </c>
      <c r="E199" s="23" t="s">
        <v>136</v>
      </c>
      <c r="F199" s="24">
        <v>1841.22</v>
      </c>
      <c r="G199" s="24">
        <f>F199/Supuestos!$B$34</f>
      </c>
      <c r="H199" s="25">
        <v>7.31</v>
      </c>
      <c r="I199" s="26">
        <f>F199*H199</f>
      </c>
      <c r="J199" s="26">
        <f>I199/Supuestos!$B$34</f>
      </c>
    </row>
    <row r="200" spans="1:10" x14ac:dyDescent="0.25">
      <c r="A200" s="23" t="s">
        <v>482</v>
      </c>
      <c r="B200" s="23" t="s">
        <v>133</v>
      </c>
      <c r="C200" s="23" t="s">
        <v>536</v>
      </c>
      <c r="D200" s="23" t="s">
        <v>537</v>
      </c>
      <c r="E200" s="23" t="s">
        <v>136</v>
      </c>
      <c r="F200" s="24">
        <v>771</v>
      </c>
      <c r="G200" s="24">
        <f>F200/Supuestos!$B$34</f>
      </c>
      <c r="H200" s="25">
        <v>13.83</v>
      </c>
      <c r="I200" s="26">
        <f>F200*H200</f>
      </c>
      <c r="J200" s="26">
        <f>I200/Supuestos!$B$34</f>
      </c>
    </row>
    <row r="201" spans="1:10" x14ac:dyDescent="0.25">
      <c r="A201" s="23" t="s">
        <v>482</v>
      </c>
      <c r="B201" s="23" t="s">
        <v>133</v>
      </c>
      <c r="C201" s="23" t="s">
        <v>538</v>
      </c>
      <c r="D201" s="23" t="s">
        <v>539</v>
      </c>
      <c r="E201" s="23" t="s">
        <v>490</v>
      </c>
      <c r="F201" s="24">
        <v>110.07</v>
      </c>
      <c r="G201" s="24">
        <f>F201/Supuestos!$B$34</f>
      </c>
      <c r="H201" s="25">
        <v>142.04</v>
      </c>
      <c r="I201" s="26">
        <f>F201*H201</f>
      </c>
      <c r="J201" s="26">
        <f>I201/Supuestos!$B$34</f>
      </c>
    </row>
    <row r="202" spans="1:10" x14ac:dyDescent="0.25">
      <c r="A202" s="23" t="s">
        <v>482</v>
      </c>
      <c r="B202" s="23" t="s">
        <v>133</v>
      </c>
      <c r="C202" s="23" t="s">
        <v>540</v>
      </c>
      <c r="D202" s="23" t="s">
        <v>541</v>
      </c>
      <c r="E202" s="23" t="s">
        <v>490</v>
      </c>
      <c r="F202" s="24">
        <v>54.76</v>
      </c>
      <c r="G202" s="24">
        <f>F202/Supuestos!$B$34</f>
      </c>
      <c r="H202" s="25">
        <v>178.34</v>
      </c>
      <c r="I202" s="26">
        <f>F202*H202</f>
      </c>
      <c r="J202" s="26">
        <f>I202/Supuestos!$B$34</f>
      </c>
    </row>
    <row r="203" spans="1:10" x14ac:dyDescent="0.25">
      <c r="A203" s="23" t="s">
        <v>482</v>
      </c>
      <c r="B203" s="23" t="s">
        <v>133</v>
      </c>
      <c r="C203" s="23" t="s">
        <v>542</v>
      </c>
      <c r="D203" s="23" t="s">
        <v>543</v>
      </c>
      <c r="E203" s="23" t="s">
        <v>490</v>
      </c>
      <c r="F203" s="24">
        <v>139.54</v>
      </c>
      <c r="G203" s="24">
        <f>F203/Supuestos!$B$34</f>
      </c>
      <c r="H203" s="25">
        <v>178.34</v>
      </c>
      <c r="I203" s="26">
        <f>F203*H203</f>
      </c>
      <c r="J203" s="26">
        <f>I203/Supuestos!$B$34</f>
      </c>
    </row>
    <row r="204" spans="1:10" x14ac:dyDescent="0.25">
      <c r="A204" s="23" t="s">
        <v>482</v>
      </c>
      <c r="B204" s="23" t="s">
        <v>133</v>
      </c>
      <c r="C204" s="23" t="s">
        <v>544</v>
      </c>
      <c r="D204" s="23" t="s">
        <v>545</v>
      </c>
      <c r="E204" s="23" t="s">
        <v>490</v>
      </c>
      <c r="F204" s="24">
        <v>21</v>
      </c>
      <c r="G204" s="24">
        <f>F204/Supuestos!$B$34</f>
      </c>
      <c r="H204" s="25">
        <v>131.67</v>
      </c>
      <c r="I204" s="26">
        <f>F204*H204</f>
      </c>
      <c r="J204" s="26">
        <f>I204/Supuestos!$B$34</f>
      </c>
    </row>
    <row r="205" spans="1:10" x14ac:dyDescent="0.25">
      <c r="A205" s="23" t="s">
        <v>482</v>
      </c>
      <c r="B205" s="23" t="s">
        <v>133</v>
      </c>
      <c r="C205" s="23" t="s">
        <v>546</v>
      </c>
      <c r="D205" s="23" t="s">
        <v>547</v>
      </c>
      <c r="E205" s="23" t="s">
        <v>136</v>
      </c>
      <c r="F205" s="24">
        <v>34.45</v>
      </c>
      <c r="G205" s="24">
        <f>F205/Supuestos!$B$34</f>
      </c>
      <c r="H205" s="25">
        <v>136.99</v>
      </c>
      <c r="I205" s="26">
        <f>F205*H205</f>
      </c>
      <c r="J205" s="26">
        <f>I205/Supuestos!$B$34</f>
      </c>
    </row>
    <row r="206" spans="1:10" x14ac:dyDescent="0.25">
      <c r="A206" s="23" t="s">
        <v>482</v>
      </c>
      <c r="B206" s="23" t="s">
        <v>133</v>
      </c>
      <c r="C206" s="23" t="s">
        <v>548</v>
      </c>
      <c r="D206" s="23" t="s">
        <v>549</v>
      </c>
      <c r="E206" s="23" t="s">
        <v>490</v>
      </c>
      <c r="F206" s="24">
        <v>12.95</v>
      </c>
      <c r="G206" s="24">
        <f>F206/Supuestos!$B$34</f>
      </c>
      <c r="H206" s="25">
        <v>334.8</v>
      </c>
      <c r="I206" s="26">
        <f>F206*H206</f>
      </c>
      <c r="J206" s="26">
        <f>I206/Supuestos!$B$34</f>
      </c>
    </row>
    <row r="207" spans="1:10" x14ac:dyDescent="0.25">
      <c r="A207" s="23" t="s">
        <v>482</v>
      </c>
      <c r="B207" s="23" t="s">
        <v>133</v>
      </c>
      <c r="C207" s="23" t="s">
        <v>550</v>
      </c>
      <c r="D207" s="23" t="s">
        <v>551</v>
      </c>
      <c r="E207" s="23" t="s">
        <v>136</v>
      </c>
      <c r="F207" s="24">
        <v>559.45</v>
      </c>
      <c r="G207" s="24">
        <f>F207/Supuestos!$B$34</f>
      </c>
      <c r="H207" s="25">
        <v>26.81</v>
      </c>
      <c r="I207" s="26">
        <f>F207*H207</f>
      </c>
      <c r="J207" s="26">
        <f>I207/Supuestos!$B$34</f>
      </c>
    </row>
    <row r="208" spans="1:10" x14ac:dyDescent="0.25">
      <c r="A208" s="23" t="s">
        <v>482</v>
      </c>
      <c r="B208" s="23" t="s">
        <v>174</v>
      </c>
      <c r="C208" s="23" t="s">
        <v>552</v>
      </c>
      <c r="D208" s="23" t="s">
        <v>553</v>
      </c>
      <c r="E208" s="23" t="s">
        <v>128</v>
      </c>
      <c r="F208" s="24">
        <v>525.5</v>
      </c>
      <c r="G208" s="24">
        <f>F208/Supuestos!$B$34</f>
      </c>
      <c r="H208" s="25">
        <v>9.92</v>
      </c>
      <c r="I208" s="26">
        <f>F208*H208</f>
      </c>
      <c r="J208" s="26">
        <f>I208/Supuestos!$B$34</f>
      </c>
    </row>
    <row r="209" spans="1:10" x14ac:dyDescent="0.25">
      <c r="A209" s="23" t="s">
        <v>482</v>
      </c>
      <c r="B209" s="23" t="s">
        <v>174</v>
      </c>
      <c r="C209" s="23" t="s">
        <v>554</v>
      </c>
      <c r="D209" s="23" t="s">
        <v>555</v>
      </c>
      <c r="E209" s="23" t="s">
        <v>136</v>
      </c>
      <c r="F209" s="24">
        <v>64.4</v>
      </c>
      <c r="G209" s="24">
        <f>F209/Supuestos!$B$34</f>
      </c>
      <c r="H209" s="25">
        <v>14.9</v>
      </c>
      <c r="I209" s="26">
        <f>F209*H209</f>
      </c>
      <c r="J209" s="26">
        <f>I209/Supuestos!$B$34</f>
      </c>
    </row>
    <row r="210" spans="1:10" x14ac:dyDescent="0.25">
      <c r="A210" s="23" t="s">
        <v>482</v>
      </c>
      <c r="B210" s="23" t="s">
        <v>174</v>
      </c>
      <c r="C210" s="23" t="s">
        <v>556</v>
      </c>
      <c r="D210" s="23" t="s">
        <v>557</v>
      </c>
      <c r="E210" s="23" t="s">
        <v>136</v>
      </c>
      <c r="F210" s="24">
        <v>1128.8</v>
      </c>
      <c r="G210" s="24">
        <f>F210/Supuestos!$B$34</f>
      </c>
      <c r="H210" s="25">
        <v>12.25</v>
      </c>
      <c r="I210" s="26">
        <f>F210*H210</f>
      </c>
      <c r="J210" s="26">
        <f>I210/Supuestos!$B$34</f>
      </c>
    </row>
    <row r="211" spans="1:10" x14ac:dyDescent="0.25">
      <c r="A211" s="23" t="s">
        <v>482</v>
      </c>
      <c r="B211" s="23" t="s">
        <v>223</v>
      </c>
      <c r="C211" s="23" t="s">
        <v>558</v>
      </c>
      <c r="D211" s="23" t="s">
        <v>559</v>
      </c>
      <c r="E211" s="23" t="s">
        <v>136</v>
      </c>
      <c r="F211" s="24">
        <v>16</v>
      </c>
      <c r="G211" s="24">
        <f>F211/Supuestos!$B$34</f>
      </c>
      <c r="H211" s="25">
        <v>19.4</v>
      </c>
      <c r="I211" s="26">
        <f>F211*H211</f>
      </c>
      <c r="J211" s="26">
        <f>I211/Supuestos!$B$34</f>
      </c>
    </row>
    <row r="212" spans="1:10" x14ac:dyDescent="0.25">
      <c r="A212" s="23" t="s">
        <v>482</v>
      </c>
      <c r="B212" s="23" t="s">
        <v>223</v>
      </c>
      <c r="C212" s="23" t="s">
        <v>560</v>
      </c>
      <c r="D212" s="23" t="s">
        <v>561</v>
      </c>
      <c r="E212" s="23" t="s">
        <v>136</v>
      </c>
      <c r="F212" s="24">
        <v>1777.6</v>
      </c>
      <c r="G212" s="24">
        <f>F212/Supuestos!$B$34</f>
      </c>
      <c r="H212" s="25">
        <v>34.5</v>
      </c>
      <c r="I212" s="26">
        <f>F212*H212</f>
      </c>
      <c r="J212" s="26">
        <f>I212/Supuestos!$B$34</f>
      </c>
    </row>
    <row r="213" spans="1:10" x14ac:dyDescent="0.25">
      <c r="A213" s="23" t="s">
        <v>482</v>
      </c>
      <c r="B213" s="23" t="s">
        <v>223</v>
      </c>
      <c r="C213" s="23" t="s">
        <v>234</v>
      </c>
      <c r="D213" s="23" t="s">
        <v>235</v>
      </c>
      <c r="E213" s="23" t="s">
        <v>136</v>
      </c>
      <c r="F213" s="24">
        <v>605.65</v>
      </c>
      <c r="G213" s="24">
        <f>F213/Supuestos!$B$34</f>
      </c>
      <c r="H213" s="25">
        <v>42.95</v>
      </c>
      <c r="I213" s="26">
        <f>F213*H213</f>
      </c>
      <c r="J213" s="26">
        <f>I213/Supuestos!$B$34</f>
      </c>
    </row>
    <row r="214" spans="1:10" x14ac:dyDescent="0.25">
      <c r="A214" s="23" t="s">
        <v>482</v>
      </c>
      <c r="B214" s="23" t="s">
        <v>253</v>
      </c>
      <c r="C214" s="23" t="s">
        <v>562</v>
      </c>
      <c r="D214" s="23" t="s">
        <v>563</v>
      </c>
      <c r="E214" s="23" t="s">
        <v>118</v>
      </c>
      <c r="F214" s="24">
        <v>180</v>
      </c>
      <c r="G214" s="24">
        <f>F214/Supuestos!$B$34</f>
      </c>
      <c r="H214" s="25">
        <v>22.46</v>
      </c>
      <c r="I214" s="26">
        <f>F214*H214</f>
      </c>
      <c r="J214" s="26">
        <f>I214/Supuestos!$B$34</f>
      </c>
    </row>
    <row r="215" spans="1:10" x14ac:dyDescent="0.25">
      <c r="A215" s="23" t="s">
        <v>482</v>
      </c>
      <c r="B215" s="23" t="s">
        <v>253</v>
      </c>
      <c r="C215" s="23" t="s">
        <v>564</v>
      </c>
      <c r="D215" s="23" t="s">
        <v>565</v>
      </c>
      <c r="E215" s="23" t="s">
        <v>424</v>
      </c>
      <c r="F215" s="24">
        <v>12481.02</v>
      </c>
      <c r="G215" s="24">
        <f>F215/Supuestos!$B$34</f>
      </c>
      <c r="H215" s="25">
        <v>4.41</v>
      </c>
      <c r="I215" s="26">
        <f>F215*H215</f>
      </c>
      <c r="J215" s="26">
        <f>I215/Supuestos!$B$34</f>
      </c>
    </row>
    <row r="216" spans="1:10" x14ac:dyDescent="0.25">
      <c r="A216" s="23" t="s">
        <v>482</v>
      </c>
      <c r="B216" s="23" t="s">
        <v>253</v>
      </c>
      <c r="C216" s="23" t="s">
        <v>566</v>
      </c>
      <c r="D216" s="23" t="s">
        <v>567</v>
      </c>
      <c r="E216" s="23" t="s">
        <v>118</v>
      </c>
      <c r="F216" s="24">
        <v>1</v>
      </c>
      <c r="G216" s="24">
        <f>F216/Supuestos!$B$34</f>
      </c>
      <c r="H216" s="25">
        <v>413.91</v>
      </c>
      <c r="I216" s="26">
        <f>F216*H216</f>
      </c>
      <c r="J216" s="26">
        <f>I216/Supuestos!$B$34</f>
      </c>
    </row>
    <row r="217" spans="1:10" x14ac:dyDescent="0.25">
      <c r="A217" s="23" t="s">
        <v>482</v>
      </c>
      <c r="B217" s="23" t="s">
        <v>253</v>
      </c>
      <c r="C217" s="23" t="s">
        <v>568</v>
      </c>
      <c r="D217" s="23" t="s">
        <v>569</v>
      </c>
      <c r="E217" s="23" t="s">
        <v>118</v>
      </c>
      <c r="F217" s="24">
        <v>1</v>
      </c>
      <c r="G217" s="24">
        <f>F217/Supuestos!$B$34</f>
      </c>
      <c r="H217" s="25">
        <v>436.14</v>
      </c>
      <c r="I217" s="26">
        <f>F217*H217</f>
      </c>
      <c r="J217" s="26">
        <f>I217/Supuestos!$B$34</f>
      </c>
    </row>
    <row r="218" spans="1:10" x14ac:dyDescent="0.25">
      <c r="A218" s="23" t="s">
        <v>482</v>
      </c>
      <c r="B218" s="23" t="s">
        <v>253</v>
      </c>
      <c r="C218" s="23" t="s">
        <v>570</v>
      </c>
      <c r="D218" s="23" t="s">
        <v>571</v>
      </c>
      <c r="E218" s="23" t="s">
        <v>118</v>
      </c>
      <c r="F218" s="24">
        <v>1</v>
      </c>
      <c r="G218" s="24">
        <f>F218/Supuestos!$B$34</f>
      </c>
      <c r="H218" s="25">
        <v>105.83</v>
      </c>
      <c r="I218" s="26">
        <f>F218*H218</f>
      </c>
      <c r="J218" s="26">
        <f>I218/Supuestos!$B$34</f>
      </c>
    </row>
    <row r="219" spans="1:10" x14ac:dyDescent="0.25">
      <c r="A219" s="23" t="s">
        <v>482</v>
      </c>
      <c r="B219" s="23" t="s">
        <v>253</v>
      </c>
      <c r="C219" s="23" t="s">
        <v>572</v>
      </c>
      <c r="D219" s="23" t="s">
        <v>573</v>
      </c>
      <c r="E219" s="23" t="s">
        <v>118</v>
      </c>
      <c r="F219" s="24">
        <v>1</v>
      </c>
      <c r="G219" s="24">
        <f>F219/Supuestos!$B$34</f>
      </c>
      <c r="H219" s="25">
        <v>740.47</v>
      </c>
      <c r="I219" s="26">
        <f>F219*H219</f>
      </c>
      <c r="J219" s="26">
        <f>I219/Supuestos!$B$34</f>
      </c>
    </row>
    <row r="220" spans="1:10" x14ac:dyDescent="0.25">
      <c r="A220" s="23" t="s">
        <v>482</v>
      </c>
      <c r="B220" s="23" t="s">
        <v>287</v>
      </c>
      <c r="C220" s="23" t="s">
        <v>574</v>
      </c>
      <c r="D220" s="23" t="s">
        <v>575</v>
      </c>
      <c r="E220" s="23" t="s">
        <v>118</v>
      </c>
      <c r="F220" s="24">
        <v>17</v>
      </c>
      <c r="G220" s="24">
        <f>F220/Supuestos!$B$34</f>
      </c>
      <c r="H220" s="25">
        <v>174.34</v>
      </c>
      <c r="I220" s="26">
        <f>F220*H220</f>
      </c>
      <c r="J220" s="26">
        <f>I220/Supuestos!$B$34</f>
      </c>
    </row>
    <row r="221" spans="1:10" x14ac:dyDescent="0.25">
      <c r="A221" s="23" t="s">
        <v>482</v>
      </c>
      <c r="B221" s="23" t="s">
        <v>287</v>
      </c>
      <c r="C221" s="23" t="s">
        <v>576</v>
      </c>
      <c r="D221" s="23" t="s">
        <v>577</v>
      </c>
      <c r="E221" s="23" t="s">
        <v>128</v>
      </c>
      <c r="F221" s="24">
        <v>139</v>
      </c>
      <c r="G221" s="24">
        <f>F221/Supuestos!$B$34</f>
      </c>
      <c r="H221" s="25">
        <v>23.07</v>
      </c>
      <c r="I221" s="26">
        <f>F221*H221</f>
      </c>
      <c r="J221" s="26">
        <f>I221/Supuestos!$B$34</f>
      </c>
    </row>
    <row r="222" spans="1:10" x14ac:dyDescent="0.25">
      <c r="A222" s="23" t="s">
        <v>482</v>
      </c>
      <c r="B222" s="23" t="s">
        <v>287</v>
      </c>
      <c r="C222" s="23" t="s">
        <v>578</v>
      </c>
      <c r="D222" s="23" t="s">
        <v>579</v>
      </c>
      <c r="E222" s="23" t="s">
        <v>128</v>
      </c>
      <c r="F222" s="24">
        <v>45</v>
      </c>
      <c r="G222" s="24">
        <f>F222/Supuestos!$B$34</f>
      </c>
      <c r="H222" s="25">
        <v>44.31</v>
      </c>
      <c r="I222" s="26">
        <f>F222*H222</f>
      </c>
      <c r="J222" s="26">
        <f>I222/Supuestos!$B$34</f>
      </c>
    </row>
    <row r="223" spans="1:10" x14ac:dyDescent="0.25">
      <c r="A223" s="23" t="s">
        <v>482</v>
      </c>
      <c r="B223" s="23" t="s">
        <v>287</v>
      </c>
      <c r="C223" s="23" t="s">
        <v>580</v>
      </c>
      <c r="D223" s="23" t="s">
        <v>581</v>
      </c>
      <c r="E223" s="23" t="s">
        <v>128</v>
      </c>
      <c r="F223" s="24">
        <v>160</v>
      </c>
      <c r="G223" s="24">
        <f>F223/Supuestos!$B$34</f>
      </c>
      <c r="H223" s="25">
        <v>18.13</v>
      </c>
      <c r="I223" s="26">
        <f>F223*H223</f>
      </c>
      <c r="J223" s="26">
        <f>I223/Supuestos!$B$34</f>
      </c>
    </row>
    <row r="224" spans="1:10" x14ac:dyDescent="0.25">
      <c r="A224" s="23" t="s">
        <v>482</v>
      </c>
      <c r="B224" s="23" t="s">
        <v>287</v>
      </c>
      <c r="C224" s="23" t="s">
        <v>582</v>
      </c>
      <c r="D224" s="23" t="s">
        <v>583</v>
      </c>
      <c r="E224" s="23" t="s">
        <v>128</v>
      </c>
      <c r="F224" s="24">
        <v>160</v>
      </c>
      <c r="G224" s="24">
        <f>F224/Supuestos!$B$34</f>
      </c>
      <c r="H224" s="25">
        <v>12.71</v>
      </c>
      <c r="I224" s="26">
        <f>F224*H224</f>
      </c>
      <c r="J224" s="26">
        <f>I224/Supuestos!$B$34</f>
      </c>
    </row>
    <row r="225" spans="1:10" x14ac:dyDescent="0.25">
      <c r="A225" s="23" t="s">
        <v>482</v>
      </c>
      <c r="B225" s="23" t="s">
        <v>287</v>
      </c>
      <c r="C225" s="23" t="s">
        <v>584</v>
      </c>
      <c r="D225" s="23" t="s">
        <v>585</v>
      </c>
      <c r="E225" s="23" t="s">
        <v>128</v>
      </c>
      <c r="F225" s="24">
        <v>40</v>
      </c>
      <c r="G225" s="24">
        <f>F225/Supuestos!$B$34</f>
      </c>
      <c r="H225" s="25">
        <v>18.11</v>
      </c>
      <c r="I225" s="26">
        <f>F225*H225</f>
      </c>
      <c r="J225" s="26">
        <f>I225/Supuestos!$B$34</f>
      </c>
    </row>
    <row r="226" spans="1:10" x14ac:dyDescent="0.25">
      <c r="A226" s="23" t="s">
        <v>482</v>
      </c>
      <c r="B226" s="23" t="s">
        <v>287</v>
      </c>
      <c r="C226" s="23" t="s">
        <v>586</v>
      </c>
      <c r="D226" s="23" t="s">
        <v>587</v>
      </c>
      <c r="E226" s="23" t="s">
        <v>128</v>
      </c>
      <c r="F226" s="24">
        <v>45</v>
      </c>
      <c r="G226" s="24">
        <f>F226/Supuestos!$B$34</f>
      </c>
      <c r="H226" s="25">
        <v>9.83</v>
      </c>
      <c r="I226" s="26">
        <f>F226*H226</f>
      </c>
      <c r="J226" s="26">
        <f>I226/Supuestos!$B$34</f>
      </c>
    </row>
    <row r="227" spans="1:10" x14ac:dyDescent="0.25">
      <c r="A227" s="23" t="s">
        <v>482</v>
      </c>
      <c r="B227" s="23" t="s">
        <v>287</v>
      </c>
      <c r="C227" s="23" t="s">
        <v>588</v>
      </c>
      <c r="D227" s="23" t="s">
        <v>589</v>
      </c>
      <c r="E227" s="23" t="s">
        <v>118</v>
      </c>
      <c r="F227" s="24">
        <v>1</v>
      </c>
      <c r="G227" s="24">
        <f>F227/Supuestos!$B$34</f>
      </c>
      <c r="H227" s="25">
        <v>454.37</v>
      </c>
      <c r="I227" s="26">
        <f>F227*H227</f>
      </c>
      <c r="J227" s="26">
        <f>I227/Supuestos!$B$34</f>
      </c>
    </row>
    <row r="228" spans="1:10" x14ac:dyDescent="0.25">
      <c r="A228" s="23" t="s">
        <v>482</v>
      </c>
      <c r="B228" s="23" t="s">
        <v>287</v>
      </c>
      <c r="C228" s="23" t="s">
        <v>590</v>
      </c>
      <c r="D228" s="23" t="s">
        <v>591</v>
      </c>
      <c r="E228" s="23" t="s">
        <v>118</v>
      </c>
      <c r="F228" s="24">
        <v>1</v>
      </c>
      <c r="G228" s="24">
        <f>F228/Supuestos!$B$34</f>
      </c>
      <c r="H228" s="25">
        <v>826.57</v>
      </c>
      <c r="I228" s="26">
        <f>F228*H228</f>
      </c>
      <c r="J228" s="26">
        <f>I228/Supuestos!$B$34</f>
      </c>
    </row>
    <row r="229" spans="1:10" x14ac:dyDescent="0.25">
      <c r="A229" s="23" t="s">
        <v>482</v>
      </c>
      <c r="B229" s="23" t="s">
        <v>287</v>
      </c>
      <c r="C229" s="23" t="s">
        <v>592</v>
      </c>
      <c r="D229" s="23" t="s">
        <v>593</v>
      </c>
      <c r="E229" s="23" t="s">
        <v>128</v>
      </c>
      <c r="F229" s="24">
        <v>420</v>
      </c>
      <c r="G229" s="24">
        <f>F229/Supuestos!$B$34</f>
      </c>
      <c r="H229" s="25">
        <v>5.74</v>
      </c>
      <c r="I229" s="26">
        <f>F229*H229</f>
      </c>
      <c r="J229" s="26">
        <f>I229/Supuestos!$B$34</f>
      </c>
    </row>
    <row r="230" spans="1:10" x14ac:dyDescent="0.25">
      <c r="A230" s="23" t="s">
        <v>482</v>
      </c>
      <c r="B230" s="23" t="s">
        <v>287</v>
      </c>
      <c r="C230" s="23" t="s">
        <v>594</v>
      </c>
      <c r="D230" s="23" t="s">
        <v>595</v>
      </c>
      <c r="E230" s="23" t="s">
        <v>128</v>
      </c>
      <c r="F230" s="24">
        <v>20</v>
      </c>
      <c r="G230" s="24">
        <f>F230/Supuestos!$B$34</f>
      </c>
      <c r="H230" s="25">
        <v>5.71</v>
      </c>
      <c r="I230" s="26">
        <f>F230*H230</f>
      </c>
      <c r="J230" s="26">
        <f>I230/Supuestos!$B$34</f>
      </c>
    </row>
    <row r="231" spans="1:10" x14ac:dyDescent="0.25">
      <c r="A231" s="23" t="s">
        <v>482</v>
      </c>
      <c r="B231" s="23" t="s">
        <v>287</v>
      </c>
      <c r="C231" s="23" t="s">
        <v>596</v>
      </c>
      <c r="D231" s="23" t="s">
        <v>597</v>
      </c>
      <c r="E231" s="23" t="s">
        <v>128</v>
      </c>
      <c r="F231" s="24">
        <v>420</v>
      </c>
      <c r="G231" s="24">
        <f>F231/Supuestos!$B$34</f>
      </c>
      <c r="H231" s="25">
        <v>4.92</v>
      </c>
      <c r="I231" s="26">
        <f>F231*H231</f>
      </c>
      <c r="J231" s="26">
        <f>I231/Supuestos!$B$34</f>
      </c>
    </row>
    <row r="232" spans="1:10" x14ac:dyDescent="0.25">
      <c r="A232" s="23" t="s">
        <v>482</v>
      </c>
      <c r="B232" s="23" t="s">
        <v>287</v>
      </c>
      <c r="C232" s="23" t="s">
        <v>598</v>
      </c>
      <c r="D232" s="23" t="s">
        <v>599</v>
      </c>
      <c r="E232" s="23" t="s">
        <v>118</v>
      </c>
      <c r="F232" s="24">
        <v>16</v>
      </c>
      <c r="G232" s="24">
        <f>F232/Supuestos!$B$34</f>
      </c>
      <c r="H232" s="25">
        <v>207.6</v>
      </c>
      <c r="I232" s="26">
        <f>F232*H232</f>
      </c>
      <c r="J232" s="26">
        <f>I232/Supuestos!$B$34</f>
      </c>
    </row>
    <row r="233" spans="1:10" x14ac:dyDescent="0.25">
      <c r="A233" s="23" t="s">
        <v>482</v>
      </c>
      <c r="B233" s="23" t="s">
        <v>287</v>
      </c>
      <c r="C233" s="23" t="s">
        <v>600</v>
      </c>
      <c r="D233" s="23" t="s">
        <v>601</v>
      </c>
      <c r="E233" s="23" t="s">
        <v>118</v>
      </c>
      <c r="F233" s="24">
        <v>16</v>
      </c>
      <c r="G233" s="24">
        <f>F233/Supuestos!$B$34</f>
      </c>
      <c r="H233" s="25">
        <v>136.77</v>
      </c>
      <c r="I233" s="26">
        <f>F233*H233</f>
      </c>
      <c r="J233" s="26">
        <f>I233/Supuestos!$B$34</f>
      </c>
    </row>
    <row r="234" spans="1:10" x14ac:dyDescent="0.25">
      <c r="A234" s="23" t="s">
        <v>482</v>
      </c>
      <c r="B234" s="23" t="s">
        <v>287</v>
      </c>
      <c r="C234" s="23" t="s">
        <v>602</v>
      </c>
      <c r="D234" s="23" t="s">
        <v>603</v>
      </c>
      <c r="E234" s="23" t="s">
        <v>128</v>
      </c>
      <c r="F234" s="24">
        <v>94.4</v>
      </c>
      <c r="G234" s="24">
        <f>F234/Supuestos!$B$34</f>
      </c>
      <c r="H234" s="25">
        <v>9.3</v>
      </c>
      <c r="I234" s="26">
        <f>F234*H234</f>
      </c>
      <c r="J234" s="26">
        <f>I234/Supuestos!$B$34</f>
      </c>
    </row>
    <row r="235" spans="1:10" x14ac:dyDescent="0.25">
      <c r="A235" s="23" t="s">
        <v>482</v>
      </c>
      <c r="B235" s="23" t="s">
        <v>287</v>
      </c>
      <c r="C235" s="23" t="s">
        <v>604</v>
      </c>
      <c r="D235" s="23" t="s">
        <v>605</v>
      </c>
      <c r="E235" s="23" t="s">
        <v>128</v>
      </c>
      <c r="F235" s="24">
        <v>6.4</v>
      </c>
      <c r="G235" s="24">
        <f>F235/Supuestos!$B$34</f>
      </c>
      <c r="H235" s="25">
        <v>10.01</v>
      </c>
      <c r="I235" s="26">
        <f>F235*H235</f>
      </c>
      <c r="J235" s="26">
        <f>I235/Supuestos!$B$34</f>
      </c>
    </row>
    <row r="236" spans="1:10" x14ac:dyDescent="0.25">
      <c r="A236" s="23" t="s">
        <v>482</v>
      </c>
      <c r="B236" s="23" t="s">
        <v>366</v>
      </c>
      <c r="C236" s="23" t="s">
        <v>606</v>
      </c>
      <c r="D236" s="23" t="s">
        <v>607</v>
      </c>
      <c r="E236" s="23" t="s">
        <v>118</v>
      </c>
      <c r="F236" s="24">
        <v>17</v>
      </c>
      <c r="G236" s="24">
        <f>F236/Supuestos!$B$34</f>
      </c>
      <c r="H236" s="25">
        <v>358.21</v>
      </c>
      <c r="I236" s="26">
        <f>F236*H236</f>
      </c>
      <c r="J236" s="26">
        <f>I236/Supuestos!$B$34</f>
      </c>
    </row>
    <row r="237" spans="1:10" x14ac:dyDescent="0.25">
      <c r="A237" s="23" t="s">
        <v>482</v>
      </c>
      <c r="B237" s="23" t="s">
        <v>366</v>
      </c>
      <c r="C237" s="23" t="s">
        <v>608</v>
      </c>
      <c r="D237" s="23" t="s">
        <v>609</v>
      </c>
      <c r="E237" s="23" t="s">
        <v>118</v>
      </c>
      <c r="F237" s="24">
        <v>17</v>
      </c>
      <c r="G237" s="24">
        <f>F237/Supuestos!$B$34</f>
      </c>
      <c r="H237" s="25">
        <v>319.66</v>
      </c>
      <c r="I237" s="26">
        <f>F237*H237</f>
      </c>
      <c r="J237" s="26">
        <f>I237/Supuestos!$B$34</f>
      </c>
    </row>
    <row r="238" spans="1:10" x14ac:dyDescent="0.25">
      <c r="A238" s="23" t="s">
        <v>482</v>
      </c>
      <c r="B238" s="23" t="s">
        <v>366</v>
      </c>
      <c r="C238" s="23" t="s">
        <v>610</v>
      </c>
      <c r="D238" s="23" t="s">
        <v>611</v>
      </c>
      <c r="E238" s="23" t="s">
        <v>118</v>
      </c>
      <c r="F238" s="24">
        <v>17</v>
      </c>
      <c r="G238" s="24">
        <f>F238/Supuestos!$B$34</f>
      </c>
      <c r="H238" s="25">
        <v>98.79</v>
      </c>
      <c r="I238" s="26">
        <f>F238*H238</f>
      </c>
      <c r="J238" s="26">
        <f>I238/Supuestos!$B$34</f>
      </c>
    </row>
    <row r="239" spans="1:10" x14ac:dyDescent="0.25">
      <c r="A239" s="23" t="s">
        <v>482</v>
      </c>
      <c r="B239" s="23" t="s">
        <v>366</v>
      </c>
      <c r="C239" s="23" t="s">
        <v>612</v>
      </c>
      <c r="D239" s="23" t="s">
        <v>613</v>
      </c>
      <c r="E239" s="23" t="s">
        <v>118</v>
      </c>
      <c r="F239" s="24">
        <v>17</v>
      </c>
      <c r="G239" s="24">
        <f>F239/Supuestos!$B$34</f>
      </c>
      <c r="H239" s="25">
        <v>62.51</v>
      </c>
      <c r="I239" s="26">
        <f>F239*H239</f>
      </c>
      <c r="J239" s="26">
        <f>I239/Supuestos!$B$34</f>
      </c>
    </row>
    <row r="240" spans="1:10" x14ac:dyDescent="0.25">
      <c r="A240" s="23" t="s">
        <v>482</v>
      </c>
      <c r="B240" s="23" t="s">
        <v>366</v>
      </c>
      <c r="C240" s="23" t="s">
        <v>614</v>
      </c>
      <c r="D240" s="23" t="s">
        <v>615</v>
      </c>
      <c r="E240" s="23" t="s">
        <v>118</v>
      </c>
      <c r="F240" s="24">
        <v>35</v>
      </c>
      <c r="G240" s="24">
        <f>F240/Supuestos!$B$34</f>
      </c>
      <c r="H240" s="25">
        <v>39.03</v>
      </c>
      <c r="I240" s="26">
        <f>F240*H240</f>
      </c>
      <c r="J240" s="26">
        <f>I240/Supuestos!$B$34</f>
      </c>
    </row>
    <row r="241" spans="1:10" x14ac:dyDescent="0.25">
      <c r="A241" s="23" t="s">
        <v>482</v>
      </c>
      <c r="B241" s="23" t="s">
        <v>366</v>
      </c>
      <c r="C241" s="23" t="s">
        <v>616</v>
      </c>
      <c r="D241" s="23" t="s">
        <v>617</v>
      </c>
      <c r="E241" s="23" t="s">
        <v>118</v>
      </c>
      <c r="F241" s="24">
        <v>1</v>
      </c>
      <c r="G241" s="24">
        <f>F241/Supuestos!$B$34</f>
      </c>
      <c r="H241" s="25">
        <v>352.92</v>
      </c>
      <c r="I241" s="26">
        <f>F241*H241</f>
      </c>
      <c r="J241" s="26">
        <f>I241/Supuestos!$B$34</f>
      </c>
    </row>
    <row r="242" spans="1:10" x14ac:dyDescent="0.25">
      <c r="A242" s="23" t="s">
        <v>482</v>
      </c>
      <c r="B242" s="23" t="s">
        <v>366</v>
      </c>
      <c r="C242" s="23" t="s">
        <v>618</v>
      </c>
      <c r="D242" s="23" t="s">
        <v>619</v>
      </c>
      <c r="E242" s="23" t="s">
        <v>118</v>
      </c>
      <c r="F242" s="24">
        <v>36</v>
      </c>
      <c r="G242" s="24">
        <f>F242/Supuestos!$B$34</f>
      </c>
      <c r="H242" s="25">
        <v>87.17</v>
      </c>
      <c r="I242" s="26">
        <f>F242*H242</f>
      </c>
      <c r="J242" s="26">
        <f>I242/Supuestos!$B$34</f>
      </c>
    </row>
    <row r="243" spans="1:10" x14ac:dyDescent="0.25">
      <c r="A243" s="23" t="s">
        <v>482</v>
      </c>
      <c r="B243" s="23" t="s">
        <v>366</v>
      </c>
      <c r="C243" s="23" t="s">
        <v>620</v>
      </c>
      <c r="D243" s="23" t="s">
        <v>621</v>
      </c>
      <c r="E243" s="23" t="s">
        <v>118</v>
      </c>
      <c r="F243" s="24">
        <v>4</v>
      </c>
      <c r="G243" s="24">
        <f>F243/Supuestos!$B$34</f>
      </c>
      <c r="H243" s="25">
        <v>1011.61</v>
      </c>
      <c r="I243" s="26">
        <f>F243*H243</f>
      </c>
      <c r="J243" s="26">
        <f>I243/Supuestos!$B$34</f>
      </c>
    </row>
    <row r="244" spans="1:10" x14ac:dyDescent="0.25">
      <c r="A244" s="23" t="s">
        <v>482</v>
      </c>
      <c r="B244" s="23" t="s">
        <v>366</v>
      </c>
      <c r="C244" s="23" t="s">
        <v>622</v>
      </c>
      <c r="D244" s="23" t="s">
        <v>623</v>
      </c>
      <c r="E244" s="23" t="s">
        <v>118</v>
      </c>
      <c r="F244" s="24">
        <v>42</v>
      </c>
      <c r="G244" s="24">
        <f>F244/Supuestos!$B$34</f>
      </c>
      <c r="H244" s="25">
        <v>26.4</v>
      </c>
      <c r="I244" s="26">
        <f>F244*H244</f>
      </c>
      <c r="J244" s="26">
        <f>I244/Supuestos!$B$34</f>
      </c>
    </row>
    <row r="245" spans="1:10" x14ac:dyDescent="0.25">
      <c r="A245" s="23" t="s">
        <v>482</v>
      </c>
      <c r="B245" s="23" t="s">
        <v>366</v>
      </c>
      <c r="C245" s="23" t="s">
        <v>624</v>
      </c>
      <c r="D245" s="23" t="s">
        <v>625</v>
      </c>
      <c r="E245" s="23" t="s">
        <v>128</v>
      </c>
      <c r="F245" s="24">
        <v>275</v>
      </c>
      <c r="G245" s="24">
        <f>F245/Supuestos!$B$34</f>
      </c>
      <c r="H245" s="25">
        <v>14.42</v>
      </c>
      <c r="I245" s="26">
        <f>F245*H245</f>
      </c>
      <c r="J245" s="26">
        <f>I245/Supuestos!$B$34</f>
      </c>
    </row>
    <row r="246" spans="1:10" x14ac:dyDescent="0.25">
      <c r="A246" s="23" t="s">
        <v>482</v>
      </c>
      <c r="B246" s="23" t="s">
        <v>366</v>
      </c>
      <c r="C246" s="23" t="s">
        <v>626</v>
      </c>
      <c r="D246" s="23" t="s">
        <v>627</v>
      </c>
      <c r="E246" s="23" t="s">
        <v>128</v>
      </c>
      <c r="F246" s="24">
        <v>110</v>
      </c>
      <c r="G246" s="24">
        <f>F246/Supuestos!$B$34</f>
      </c>
      <c r="H246" s="25">
        <v>14.13</v>
      </c>
      <c r="I246" s="26">
        <f>F246*H246</f>
      </c>
      <c r="J246" s="26">
        <f>I246/Supuestos!$B$34</f>
      </c>
    </row>
    <row r="247" spans="1:10" x14ac:dyDescent="0.25">
      <c r="A247" s="23" t="s">
        <v>482</v>
      </c>
      <c r="B247" s="23" t="s">
        <v>366</v>
      </c>
      <c r="C247" s="23" t="s">
        <v>628</v>
      </c>
      <c r="D247" s="23" t="s">
        <v>629</v>
      </c>
      <c r="E247" s="23" t="s">
        <v>118</v>
      </c>
      <c r="F247" s="24">
        <v>1</v>
      </c>
      <c r="G247" s="24">
        <f>F247/Supuestos!$B$34</f>
      </c>
      <c r="H247" s="25">
        <v>12.13</v>
      </c>
      <c r="I247" s="26">
        <f>F247*H247</f>
      </c>
      <c r="J247" s="26">
        <f>I247/Supuestos!$B$34</f>
      </c>
    </row>
    <row r="248" spans="1:10" x14ac:dyDescent="0.25">
      <c r="A248" s="23" t="s">
        <v>482</v>
      </c>
      <c r="B248" s="23" t="s">
        <v>366</v>
      </c>
      <c r="C248" s="23" t="s">
        <v>630</v>
      </c>
      <c r="D248" s="23" t="s">
        <v>631</v>
      </c>
      <c r="E248" s="23" t="s">
        <v>118</v>
      </c>
      <c r="F248" s="24">
        <v>3</v>
      </c>
      <c r="G248" s="24">
        <f>F248/Supuestos!$B$34</f>
      </c>
      <c r="H248" s="25">
        <v>11.54</v>
      </c>
      <c r="I248" s="26">
        <f>F248*H248</f>
      </c>
      <c r="J248" s="26">
        <f>I248/Supuestos!$B$34</f>
      </c>
    </row>
    <row r="249" spans="1:10" x14ac:dyDescent="0.25">
      <c r="A249" s="23" t="s">
        <v>482</v>
      </c>
      <c r="B249" s="23" t="s">
        <v>366</v>
      </c>
      <c r="C249" s="23" t="s">
        <v>632</v>
      </c>
      <c r="D249" s="23" t="s">
        <v>633</v>
      </c>
      <c r="E249" s="23" t="s">
        <v>118</v>
      </c>
      <c r="F249" s="24">
        <v>3</v>
      </c>
      <c r="G249" s="24">
        <f>F249/Supuestos!$B$34</f>
      </c>
      <c r="H249" s="25">
        <v>12.12</v>
      </c>
      <c r="I249" s="26">
        <f>F249*H249</f>
      </c>
      <c r="J249" s="26">
        <f>I249/Supuestos!$B$34</f>
      </c>
    </row>
    <row r="250" spans="1:10" x14ac:dyDescent="0.25">
      <c r="A250" s="23" t="s">
        <v>482</v>
      </c>
      <c r="B250" s="23" t="s">
        <v>366</v>
      </c>
      <c r="C250" s="23" t="s">
        <v>634</v>
      </c>
      <c r="D250" s="23" t="s">
        <v>635</v>
      </c>
      <c r="E250" s="23" t="s">
        <v>118</v>
      </c>
      <c r="F250" s="24">
        <v>3</v>
      </c>
      <c r="G250" s="24">
        <f>F250/Supuestos!$B$34</f>
      </c>
      <c r="H250" s="25">
        <v>15.08</v>
      </c>
      <c r="I250" s="26">
        <f>F250*H250</f>
      </c>
      <c r="J250" s="26">
        <f>I250/Supuestos!$B$34</f>
      </c>
    </row>
    <row r="251" spans="1:10" x14ac:dyDescent="0.25">
      <c r="A251" s="23" t="s">
        <v>482</v>
      </c>
      <c r="B251" s="23" t="s">
        <v>636</v>
      </c>
      <c r="C251" s="23" t="s">
        <v>637</v>
      </c>
      <c r="D251" s="23" t="s">
        <v>638</v>
      </c>
      <c r="E251" s="23" t="s">
        <v>136</v>
      </c>
      <c r="F251" s="24">
        <v>83</v>
      </c>
      <c r="G251" s="24">
        <f>F251/Supuestos!$B$34</f>
      </c>
      <c r="H251" s="25">
        <v>40.05</v>
      </c>
      <c r="I251" s="26">
        <f>F251*H251</f>
      </c>
      <c r="J251" s="26">
        <f>I251/Supuestos!$B$34</f>
      </c>
    </row>
    <row r="252" spans="1:10" x14ac:dyDescent="0.25">
      <c r="A252" s="23" t="s">
        <v>482</v>
      </c>
      <c r="B252" s="23" t="s">
        <v>636</v>
      </c>
      <c r="C252" s="23" t="s">
        <v>639</v>
      </c>
      <c r="D252" s="23" t="s">
        <v>640</v>
      </c>
      <c r="E252" s="23" t="s">
        <v>136</v>
      </c>
      <c r="F252" s="24">
        <v>95.25</v>
      </c>
      <c r="G252" s="24">
        <f>F252/Supuestos!$B$34</f>
      </c>
      <c r="H252" s="25">
        <v>4.43</v>
      </c>
      <c r="I252" s="26">
        <f>F252*H252</f>
      </c>
      <c r="J252" s="26">
        <f>I252/Supuestos!$B$34</f>
      </c>
    </row>
    <row r="253" spans="1:10" x14ac:dyDescent="0.25">
      <c r="A253" s="23" t="s">
        <v>482</v>
      </c>
      <c r="B253" s="23" t="s">
        <v>636</v>
      </c>
      <c r="C253" s="23" t="s">
        <v>641</v>
      </c>
      <c r="D253" s="23" t="s">
        <v>642</v>
      </c>
      <c r="E253" s="23" t="s">
        <v>136</v>
      </c>
      <c r="F253" s="24">
        <v>95.25</v>
      </c>
      <c r="G253" s="24">
        <f>F253/Supuestos!$B$34</f>
      </c>
      <c r="H253" s="25">
        <v>34.92</v>
      </c>
      <c r="I253" s="26">
        <f>F253*H253</f>
      </c>
      <c r="J253" s="26">
        <f>I253/Supuestos!$B$34</f>
      </c>
    </row>
    <row r="254" spans="1:10" x14ac:dyDescent="0.25">
      <c r="A254" s="23" t="s">
        <v>482</v>
      </c>
      <c r="B254" s="23" t="s">
        <v>636</v>
      </c>
      <c r="C254" s="23" t="s">
        <v>643</v>
      </c>
      <c r="D254" s="23" t="s">
        <v>644</v>
      </c>
      <c r="E254" s="23" t="s">
        <v>136</v>
      </c>
      <c r="F254" s="24">
        <v>59</v>
      </c>
      <c r="G254" s="24">
        <f>F254/Supuestos!$B$34</f>
      </c>
      <c r="H254" s="25">
        <v>31.52</v>
      </c>
      <c r="I254" s="26">
        <f>F254*H254</f>
      </c>
      <c r="J254" s="26">
        <f>I254/Supuestos!$B$34</f>
      </c>
    </row>
    <row r="255" spans="1:10" x14ac:dyDescent="0.25">
      <c r="A255" s="23" t="s">
        <v>482</v>
      </c>
      <c r="B255" s="23" t="s">
        <v>636</v>
      </c>
      <c r="C255" s="23" t="s">
        <v>645</v>
      </c>
      <c r="D255" s="23" t="s">
        <v>646</v>
      </c>
      <c r="E255" s="23" t="s">
        <v>490</v>
      </c>
      <c r="F255" s="24">
        <v>1.45</v>
      </c>
      <c r="G255" s="24">
        <f>F255/Supuestos!$B$34</f>
      </c>
      <c r="H255" s="25">
        <v>67.44</v>
      </c>
      <c r="I255" s="26">
        <f>F255*H255</f>
      </c>
      <c r="J255" s="26">
        <f>I255/Supuestos!$B$34</f>
      </c>
    </row>
    <row r="256" spans="1:10" x14ac:dyDescent="0.25">
      <c r="A256" s="23" t="s">
        <v>482</v>
      </c>
      <c r="B256" s="23" t="s">
        <v>636</v>
      </c>
      <c r="C256" s="23" t="s">
        <v>647</v>
      </c>
      <c r="D256" s="23" t="s">
        <v>648</v>
      </c>
      <c r="E256" s="23" t="s">
        <v>128</v>
      </c>
      <c r="F256" s="24">
        <v>9</v>
      </c>
      <c r="G256" s="24">
        <f>F256/Supuestos!$B$34</f>
      </c>
      <c r="H256" s="25">
        <v>22.49</v>
      </c>
      <c r="I256" s="26">
        <f>F256*H256</f>
      </c>
      <c r="J256" s="26">
        <f>I256/Supuestos!$B$34</f>
      </c>
    </row>
    <row r="257" spans="1:10" x14ac:dyDescent="0.25">
      <c r="A257" s="23" t="s">
        <v>482</v>
      </c>
      <c r="B257" s="23" t="s">
        <v>636</v>
      </c>
      <c r="C257" s="23" t="s">
        <v>649</v>
      </c>
      <c r="D257" s="23" t="s">
        <v>650</v>
      </c>
      <c r="E257" s="23" t="s">
        <v>136</v>
      </c>
      <c r="F257" s="24">
        <v>154.25</v>
      </c>
      <c r="G257" s="24">
        <f>F257/Supuestos!$B$34</f>
      </c>
      <c r="H257" s="25">
        <v>10.56</v>
      </c>
      <c r="I257" s="26">
        <f>F257*H257</f>
      </c>
      <c r="J257" s="26">
        <f>I257/Supuestos!$B$34</f>
      </c>
    </row>
    <row r="258" spans="1:10" x14ac:dyDescent="0.25">
      <c r="A258" s="23" t="s">
        <v>482</v>
      </c>
      <c r="B258" s="23" t="s">
        <v>636</v>
      </c>
      <c r="C258" s="23" t="s">
        <v>234</v>
      </c>
      <c r="D258" s="23" t="s">
        <v>235</v>
      </c>
      <c r="E258" s="23" t="s">
        <v>136</v>
      </c>
      <c r="F258" s="24">
        <v>154.25</v>
      </c>
      <c r="G258" s="24">
        <f>F258/Supuestos!$B$34</f>
      </c>
      <c r="H258" s="25">
        <v>42.95</v>
      </c>
      <c r="I258" s="26">
        <f>F258*H258</f>
      </c>
      <c r="J258" s="26">
        <f>I258/Supuestos!$B$34</f>
      </c>
    </row>
    <row r="259" spans="1:10" x14ac:dyDescent="0.25">
      <c r="A259" s="23" t="s">
        <v>482</v>
      </c>
      <c r="B259" s="23" t="s">
        <v>636</v>
      </c>
      <c r="C259" s="23" t="s">
        <v>651</v>
      </c>
      <c r="D259" s="23" t="s">
        <v>652</v>
      </c>
      <c r="E259" s="23" t="s">
        <v>128</v>
      </c>
      <c r="F259" s="24">
        <v>40</v>
      </c>
      <c r="G259" s="24">
        <f>F259/Supuestos!$B$34</f>
      </c>
      <c r="H259" s="25">
        <v>39.92</v>
      </c>
      <c r="I259" s="26">
        <f>F259*H259</f>
      </c>
      <c r="J259" s="26">
        <f>I259/Supuestos!$B$34</f>
      </c>
    </row>
    <row r="260" spans="1:10" x14ac:dyDescent="0.25">
      <c r="A260" s="23" t="s">
        <v>482</v>
      </c>
      <c r="B260" s="23" t="s">
        <v>636</v>
      </c>
      <c r="C260" s="23" t="s">
        <v>653</v>
      </c>
      <c r="D260" s="23" t="s">
        <v>654</v>
      </c>
      <c r="E260" s="23" t="s">
        <v>118</v>
      </c>
      <c r="F260" s="24">
        <v>100</v>
      </c>
      <c r="G260" s="24">
        <f>F260/Supuestos!$B$34</f>
      </c>
      <c r="H260" s="25">
        <v>5.91</v>
      </c>
      <c r="I260" s="26">
        <f>F260*H260</f>
      </c>
      <c r="J260" s="26">
        <f>I260/Supuestos!$B$34</f>
      </c>
    </row>
    <row r="261" spans="1:10" x14ac:dyDescent="0.25">
      <c r="A261" s="23" t="s">
        <v>482</v>
      </c>
      <c r="B261" s="23" t="s">
        <v>636</v>
      </c>
      <c r="C261" s="23" t="s">
        <v>655</v>
      </c>
      <c r="D261" s="23" t="s">
        <v>656</v>
      </c>
      <c r="E261" s="23" t="s">
        <v>118</v>
      </c>
      <c r="F261" s="24">
        <v>1</v>
      </c>
      <c r="G261" s="24">
        <f>F261/Supuestos!$B$34</f>
      </c>
      <c r="H261" s="25">
        <v>3535.3</v>
      </c>
      <c r="I261" s="26">
        <f>F261*H261</f>
      </c>
      <c r="J261" s="26">
        <f>I261/Supuestos!$B$34</f>
      </c>
    </row>
    <row r="262" spans="1:10" x14ac:dyDescent="0.25">
      <c r="A262" s="23" t="s">
        <v>482</v>
      </c>
      <c r="B262" s="23" t="s">
        <v>636</v>
      </c>
      <c r="C262" s="23" t="s">
        <v>657</v>
      </c>
      <c r="D262" s="23" t="s">
        <v>658</v>
      </c>
      <c r="E262" s="23" t="s">
        <v>118</v>
      </c>
      <c r="F262" s="24">
        <v>1</v>
      </c>
      <c r="G262" s="24">
        <f>F262/Supuestos!$B$34</f>
      </c>
      <c r="H262" s="25">
        <v>2589.16</v>
      </c>
      <c r="I262" s="26">
        <f>F262*H262</f>
      </c>
      <c r="J262" s="26">
        <f>I262/Supuestos!$B$34</f>
      </c>
    </row>
    <row r="263" spans="1:10" x14ac:dyDescent="0.25">
      <c r="A263" s="23" t="s">
        <v>482</v>
      </c>
      <c r="B263" s="23" t="s">
        <v>636</v>
      </c>
      <c r="C263" s="23" t="s">
        <v>659</v>
      </c>
      <c r="D263" s="23" t="s">
        <v>660</v>
      </c>
      <c r="E263" s="23" t="s">
        <v>118</v>
      </c>
      <c r="F263" s="24">
        <v>2</v>
      </c>
      <c r="G263" s="24">
        <f>F263/Supuestos!$B$34</f>
      </c>
      <c r="H263" s="25">
        <v>1529.79</v>
      </c>
      <c r="I263" s="26">
        <f>F263*H263</f>
      </c>
      <c r="J263" s="26">
        <f>I263/Supuestos!$B$34</f>
      </c>
    </row>
    <row r="264" spans="1:10" x14ac:dyDescent="0.25">
      <c r="A264" s="23" t="s">
        <v>482</v>
      </c>
      <c r="B264" s="23" t="s">
        <v>636</v>
      </c>
      <c r="C264" s="23" t="s">
        <v>661</v>
      </c>
      <c r="D264" s="23" t="s">
        <v>662</v>
      </c>
      <c r="E264" s="23" t="s">
        <v>118</v>
      </c>
      <c r="F264" s="24">
        <v>3</v>
      </c>
      <c r="G264" s="24">
        <f>F264/Supuestos!$B$34</f>
      </c>
      <c r="H264" s="25">
        <v>231.1</v>
      </c>
      <c r="I264" s="26">
        <f>F264*H264</f>
      </c>
      <c r="J264" s="26">
        <f>I264/Supuestos!$B$34</f>
      </c>
    </row>
    <row r="265" spans="1:10" x14ac:dyDescent="0.25">
      <c r="A265" s="23" t="s">
        <v>482</v>
      </c>
      <c r="B265" s="23" t="s">
        <v>636</v>
      </c>
      <c r="C265" s="23" t="s">
        <v>663</v>
      </c>
      <c r="D265" s="23" t="s">
        <v>664</v>
      </c>
      <c r="E265" s="23" t="s">
        <v>118</v>
      </c>
      <c r="F265" s="24">
        <v>1</v>
      </c>
      <c r="G265" s="24">
        <f>F265/Supuestos!$B$34</f>
      </c>
      <c r="H265" s="25">
        <v>157.19</v>
      </c>
      <c r="I265" s="26">
        <f>F265*H265</f>
      </c>
      <c r="J265" s="26">
        <f>I265/Supuestos!$B$34</f>
      </c>
    </row>
    <row r="266" spans="1:10" x14ac:dyDescent="0.25">
      <c r="A266" s="23" t="s">
        <v>482</v>
      </c>
      <c r="B266" s="23" t="s">
        <v>636</v>
      </c>
      <c r="C266" s="23" t="s">
        <v>665</v>
      </c>
      <c r="D266" s="23" t="s">
        <v>666</v>
      </c>
      <c r="E266" s="23" t="s">
        <v>118</v>
      </c>
      <c r="F266" s="24">
        <v>4</v>
      </c>
      <c r="G266" s="24">
        <f>F266/Supuestos!$B$34</f>
      </c>
      <c r="H266" s="25">
        <v>154.47</v>
      </c>
      <c r="I266" s="26">
        <f>F266*H266</f>
      </c>
      <c r="J266" s="26">
        <f>I266/Supuestos!$B$34</f>
      </c>
    </row>
    <row r="267" spans="1:10" x14ac:dyDescent="0.25">
      <c r="A267" s="23" t="s">
        <v>482</v>
      </c>
      <c r="B267" s="23" t="s">
        <v>636</v>
      </c>
      <c r="C267" s="23" t="s">
        <v>667</v>
      </c>
      <c r="D267" s="23" t="s">
        <v>668</v>
      </c>
      <c r="E267" s="23" t="s">
        <v>118</v>
      </c>
      <c r="F267" s="24">
        <v>3</v>
      </c>
      <c r="G267" s="24">
        <f>F267/Supuestos!$B$34</f>
      </c>
      <c r="H267" s="25">
        <v>186.66</v>
      </c>
      <c r="I267" s="26">
        <f>F267*H267</f>
      </c>
      <c r="J267" s="26">
        <f>I267/Supuestos!$B$34</f>
      </c>
    </row>
    <row r="268" spans="1:10" x14ac:dyDescent="0.25">
      <c r="A268" s="23" t="s">
        <v>482</v>
      </c>
      <c r="B268" s="23" t="s">
        <v>636</v>
      </c>
      <c r="C268" s="23" t="s">
        <v>669</v>
      </c>
      <c r="D268" s="23" t="s">
        <v>670</v>
      </c>
      <c r="E268" s="23" t="s">
        <v>118</v>
      </c>
      <c r="F268" s="24">
        <v>2</v>
      </c>
      <c r="G268" s="24">
        <f>F268/Supuestos!$B$34</f>
      </c>
      <c r="H268" s="25">
        <v>1673.03</v>
      </c>
      <c r="I268" s="26">
        <f>F268*H268</f>
      </c>
      <c r="J268" s="26">
        <f>I268/Supuestos!$B$34</f>
      </c>
    </row>
    <row r="269" spans="1:10" x14ac:dyDescent="0.25">
      <c r="A269" s="23" t="s">
        <v>482</v>
      </c>
      <c r="B269" s="23" t="s">
        <v>636</v>
      </c>
      <c r="C269" s="23" t="s">
        <v>671</v>
      </c>
      <c r="D269" s="23" t="s">
        <v>672</v>
      </c>
      <c r="E269" s="23" t="s">
        <v>118</v>
      </c>
      <c r="F269" s="24">
        <v>1</v>
      </c>
      <c r="G269" s="24">
        <f>F269/Supuestos!$B$34</f>
      </c>
      <c r="H269" s="25">
        <v>697.16</v>
      </c>
      <c r="I269" s="26">
        <f>F269*H269</f>
      </c>
      <c r="J269" s="26">
        <f>I269/Supuestos!$B$34</f>
      </c>
    </row>
    <row r="270" spans="1:10" x14ac:dyDescent="0.25">
      <c r="A270" s="23" t="s">
        <v>482</v>
      </c>
      <c r="B270" s="23" t="s">
        <v>673</v>
      </c>
      <c r="C270" s="23" t="s">
        <v>674</v>
      </c>
      <c r="D270" s="23" t="s">
        <v>675</v>
      </c>
      <c r="E270" s="23" t="s">
        <v>136</v>
      </c>
      <c r="F270" s="24">
        <v>404.6</v>
      </c>
      <c r="G270" s="24">
        <f>F270/Supuestos!$B$34</f>
      </c>
      <c r="H270" s="25">
        <v>33.09</v>
      </c>
      <c r="I270" s="26">
        <f>F270*H270</f>
      </c>
      <c r="J270" s="26">
        <f>I270/Supuestos!$B$34</f>
      </c>
    </row>
    <row r="271" spans="1:10" x14ac:dyDescent="0.25">
      <c r="A271" s="23" t="s">
        <v>482</v>
      </c>
      <c r="B271" s="23" t="s">
        <v>673</v>
      </c>
      <c r="C271" s="23" t="s">
        <v>676</v>
      </c>
      <c r="D271" s="23" t="s">
        <v>677</v>
      </c>
      <c r="E271" s="23" t="s">
        <v>128</v>
      </c>
      <c r="F271" s="24">
        <v>289</v>
      </c>
      <c r="G271" s="24">
        <f>F271/Supuestos!$B$34</f>
      </c>
      <c r="H271" s="25">
        <v>20.15</v>
      </c>
      <c r="I271" s="26">
        <f>F271*H271</f>
      </c>
      <c r="J271" s="26">
        <f>I271/Supuestos!$B$34</f>
      </c>
    </row>
    <row r="272" spans="1:10" x14ac:dyDescent="0.25">
      <c r="A272" s="23" t="s">
        <v>482</v>
      </c>
      <c r="B272" s="23" t="s">
        <v>673</v>
      </c>
      <c r="C272" s="23" t="s">
        <v>678</v>
      </c>
      <c r="D272" s="23" t="s">
        <v>679</v>
      </c>
      <c r="E272" s="23" t="s">
        <v>136</v>
      </c>
      <c r="F272" s="24">
        <v>389.15</v>
      </c>
      <c r="G272" s="24">
        <f>F272/Supuestos!$B$34</f>
      </c>
      <c r="H272" s="25">
        <v>31.64</v>
      </c>
      <c r="I272" s="26">
        <f>F272*H272</f>
      </c>
      <c r="J272" s="26">
        <f>I272/Supuestos!$B$34</f>
      </c>
    </row>
    <row r="273" spans="1:10" x14ac:dyDescent="0.25">
      <c r="A273" s="23" t="s">
        <v>482</v>
      </c>
      <c r="B273" s="23" t="s">
        <v>673</v>
      </c>
      <c r="C273" s="23" t="s">
        <v>680</v>
      </c>
      <c r="D273" s="23" t="s">
        <v>681</v>
      </c>
      <c r="E273" s="23" t="s">
        <v>136</v>
      </c>
      <c r="F273" s="24">
        <v>374.77</v>
      </c>
      <c r="G273" s="24">
        <f>F273/Supuestos!$B$34</f>
      </c>
      <c r="H273" s="25">
        <v>34.54</v>
      </c>
      <c r="I273" s="26">
        <f>F273*H273</f>
      </c>
      <c r="J273" s="26">
        <f>I273/Supuestos!$B$34</f>
      </c>
    </row>
    <row r="274" spans="1:10" x14ac:dyDescent="0.25">
      <c r="A274" s="23" t="s">
        <v>482</v>
      </c>
      <c r="B274" s="23" t="s">
        <v>673</v>
      </c>
      <c r="C274" s="23" t="s">
        <v>682</v>
      </c>
      <c r="D274" s="23" t="s">
        <v>683</v>
      </c>
      <c r="E274" s="23" t="s">
        <v>128</v>
      </c>
      <c r="F274" s="24">
        <v>276.45</v>
      </c>
      <c r="G274" s="24">
        <f>F274/Supuestos!$B$34</f>
      </c>
      <c r="H274" s="25">
        <v>27.73</v>
      </c>
      <c r="I274" s="26">
        <f>F274*H274</f>
      </c>
      <c r="J274" s="26">
        <f>I274/Supuestos!$B$34</f>
      </c>
    </row>
    <row r="275" spans="1:10" x14ac:dyDescent="0.25">
      <c r="A275" s="23" t="s">
        <v>482</v>
      </c>
      <c r="B275" s="23" t="s">
        <v>673</v>
      </c>
      <c r="C275" s="23" t="s">
        <v>684</v>
      </c>
      <c r="D275" s="23" t="s">
        <v>685</v>
      </c>
      <c r="E275" s="23" t="s">
        <v>136</v>
      </c>
      <c r="F275" s="24">
        <v>724.95</v>
      </c>
      <c r="G275" s="24">
        <f>F275/Supuestos!$B$34</f>
      </c>
      <c r="H275" s="25">
        <v>7.79</v>
      </c>
      <c r="I275" s="26">
        <f>F275*H275</f>
      </c>
      <c r="J275" s="26">
        <f>I275/Supuestos!$B$34</f>
      </c>
    </row>
    <row r="276" spans="1:10" x14ac:dyDescent="0.25">
      <c r="A276" s="23" t="s">
        <v>482</v>
      </c>
      <c r="B276" s="23" t="s">
        <v>673</v>
      </c>
      <c r="C276" s="23" t="s">
        <v>686</v>
      </c>
      <c r="D276" s="23" t="s">
        <v>687</v>
      </c>
      <c r="E276" s="23" t="s">
        <v>118</v>
      </c>
      <c r="F276" s="24">
        <v>4</v>
      </c>
      <c r="G276" s="24">
        <f>F276/Supuestos!$B$34</f>
      </c>
      <c r="H276" s="25">
        <v>189.11</v>
      </c>
      <c r="I276" s="26">
        <f>F276*H276</f>
      </c>
      <c r="J276" s="26">
        <f>I276/Supuestos!$B$34</f>
      </c>
    </row>
    <row r="277" spans="1:10" x14ac:dyDescent="0.25">
      <c r="A277" s="23" t="s">
        <v>482</v>
      </c>
      <c r="B277" s="23" t="s">
        <v>673</v>
      </c>
      <c r="C277" s="23" t="s">
        <v>688</v>
      </c>
      <c r="D277" s="23" t="s">
        <v>689</v>
      </c>
      <c r="E277" s="23" t="s">
        <v>118</v>
      </c>
      <c r="F277" s="24">
        <v>3</v>
      </c>
      <c r="G277" s="24">
        <f>F277/Supuestos!$B$34</f>
      </c>
      <c r="H277" s="25">
        <v>133.22</v>
      </c>
      <c r="I277" s="26">
        <f>F277*H277</f>
      </c>
      <c r="J277" s="26">
        <f>I277/Supuestos!$B$34</f>
      </c>
    </row>
    <row r="278" spans="1:10" x14ac:dyDescent="0.25">
      <c r="A278" s="23" t="s">
        <v>482</v>
      </c>
      <c r="B278" s="23" t="s">
        <v>673</v>
      </c>
      <c r="C278" s="23" t="s">
        <v>690</v>
      </c>
      <c r="D278" s="23" t="s">
        <v>691</v>
      </c>
      <c r="E278" s="23" t="s">
        <v>118</v>
      </c>
      <c r="F278" s="24">
        <v>28</v>
      </c>
      <c r="G278" s="24">
        <f>F278/Supuestos!$B$34</f>
      </c>
      <c r="H278" s="25">
        <v>113.45</v>
      </c>
      <c r="I278" s="26">
        <f>F278*H278</f>
      </c>
      <c r="J278" s="26">
        <f>I278/Supuestos!$B$34</f>
      </c>
    </row>
    <row r="279" spans="1:10" x14ac:dyDescent="0.25">
      <c r="A279" s="23" t="s">
        <v>482</v>
      </c>
      <c r="B279" s="23" t="s">
        <v>673</v>
      </c>
      <c r="C279" s="23" t="s">
        <v>692</v>
      </c>
      <c r="D279" s="23" t="s">
        <v>693</v>
      </c>
      <c r="E279" s="23" t="s">
        <v>118</v>
      </c>
      <c r="F279" s="24">
        <v>5</v>
      </c>
      <c r="G279" s="24">
        <f>F279/Supuestos!$B$34</f>
      </c>
      <c r="H279" s="25">
        <v>878.13</v>
      </c>
      <c r="I279" s="26">
        <f>F279*H279</f>
      </c>
      <c r="J279" s="26">
        <f>I279/Supuestos!$B$34</f>
      </c>
    </row>
    <row r="280" spans="1:10" x14ac:dyDescent="0.25">
      <c r="A280" s="23" t="s">
        <v>482</v>
      </c>
      <c r="B280" s="23" t="s">
        <v>673</v>
      </c>
      <c r="C280" s="23" t="s">
        <v>694</v>
      </c>
      <c r="D280" s="23" t="s">
        <v>695</v>
      </c>
      <c r="E280" s="23" t="s">
        <v>118</v>
      </c>
      <c r="F280" s="24">
        <v>2</v>
      </c>
      <c r="G280" s="24">
        <f>F280/Supuestos!$B$34</f>
      </c>
      <c r="H280" s="25">
        <v>71.79</v>
      </c>
      <c r="I280" s="26">
        <f>F280*H280</f>
      </c>
      <c r="J280" s="26">
        <f>I280/Supuestos!$B$34</f>
      </c>
    </row>
    <row r="281" spans="1:10" x14ac:dyDescent="0.25">
      <c r="A281" s="23" t="s">
        <v>482</v>
      </c>
      <c r="B281" s="23" t="s">
        <v>673</v>
      </c>
      <c r="C281" s="23" t="s">
        <v>696</v>
      </c>
      <c r="D281" s="23" t="s">
        <v>697</v>
      </c>
      <c r="E281" s="23" t="s">
        <v>118</v>
      </c>
      <c r="F281" s="24">
        <v>1</v>
      </c>
      <c r="G281" s="24">
        <f>F281/Supuestos!$B$34</f>
      </c>
      <c r="H281" s="25">
        <v>61.08</v>
      </c>
      <c r="I281" s="26">
        <f>F281*H281</f>
      </c>
      <c r="J281" s="26">
        <f>I281/Supuestos!$B$34</f>
      </c>
    </row>
    <row r="282" spans="1:10" x14ac:dyDescent="0.25">
      <c r="A282" s="23" t="s">
        <v>482</v>
      </c>
      <c r="B282" s="23" t="s">
        <v>673</v>
      </c>
      <c r="C282" s="23" t="s">
        <v>698</v>
      </c>
      <c r="D282" s="23" t="s">
        <v>699</v>
      </c>
      <c r="E282" s="23" t="s">
        <v>700</v>
      </c>
      <c r="F282" s="24">
        <v>1</v>
      </c>
      <c r="G282" s="24">
        <f>F282/Supuestos!$B$34</f>
      </c>
      <c r="H282" s="25">
        <v>1940.36</v>
      </c>
      <c r="I282" s="26">
        <f>F282*H282</f>
      </c>
      <c r="J282" s="26">
        <f>I282/Supuestos!$B$34</f>
      </c>
    </row>
    <row r="283" spans="1:10" x14ac:dyDescent="0.25">
      <c r="A283" s="23" t="s">
        <v>482</v>
      </c>
      <c r="B283" s="23" t="s">
        <v>673</v>
      </c>
      <c r="C283" s="23" t="s">
        <v>701</v>
      </c>
      <c r="D283" s="23" t="s">
        <v>702</v>
      </c>
      <c r="E283" s="23" t="s">
        <v>118</v>
      </c>
      <c r="F283" s="24">
        <v>2</v>
      </c>
      <c r="G283" s="24">
        <f>F283/Supuestos!$B$34</f>
      </c>
      <c r="H283" s="25">
        <v>32.59</v>
      </c>
      <c r="I283" s="26">
        <f>F283*H283</f>
      </c>
      <c r="J283" s="26">
        <f>I283/Supuestos!$B$34</f>
      </c>
    </row>
    <row r="284" spans="1:10" x14ac:dyDescent="0.25">
      <c r="A284" s="23" t="s">
        <v>482</v>
      </c>
      <c r="B284" s="23" t="s">
        <v>673</v>
      </c>
      <c r="C284" s="23" t="s">
        <v>703</v>
      </c>
      <c r="D284" s="23" t="s">
        <v>704</v>
      </c>
      <c r="E284" s="23" t="s">
        <v>118</v>
      </c>
      <c r="F284" s="24">
        <v>2</v>
      </c>
      <c r="G284" s="24">
        <f>F284/Supuestos!$B$34</f>
      </c>
      <c r="H284" s="25">
        <v>34.89</v>
      </c>
      <c r="I284" s="26">
        <f>F284*H284</f>
      </c>
      <c r="J284" s="26">
        <f>I284/Supuestos!$B$34</f>
      </c>
    </row>
    <row r="285" spans="1:10" x14ac:dyDescent="0.25">
      <c r="A285" s="23" t="s">
        <v>482</v>
      </c>
      <c r="B285" s="23" t="s">
        <v>673</v>
      </c>
      <c r="C285" s="23" t="s">
        <v>705</v>
      </c>
      <c r="D285" s="23" t="s">
        <v>706</v>
      </c>
      <c r="E285" s="23" t="s">
        <v>118</v>
      </c>
      <c r="F285" s="24">
        <v>2</v>
      </c>
      <c r="G285" s="24">
        <f>F285/Supuestos!$B$34</f>
      </c>
      <c r="H285" s="25">
        <v>91.9</v>
      </c>
      <c r="I285" s="26">
        <f>F285*H285</f>
      </c>
      <c r="J285" s="26">
        <f>I285/Supuestos!$B$34</f>
      </c>
    </row>
    <row r="286" spans="1:10" x14ac:dyDescent="0.25">
      <c r="A286" s="23" t="s">
        <v>482</v>
      </c>
      <c r="B286" s="23" t="s">
        <v>673</v>
      </c>
      <c r="C286" s="23" t="s">
        <v>707</v>
      </c>
      <c r="D286" s="23" t="s">
        <v>708</v>
      </c>
      <c r="E286" s="23" t="s">
        <v>118</v>
      </c>
      <c r="F286" s="24">
        <v>13</v>
      </c>
      <c r="G286" s="24">
        <f>F286/Supuestos!$B$34</f>
      </c>
      <c r="H286" s="25">
        <v>11.75</v>
      </c>
      <c r="I286" s="26">
        <f>F286*H286</f>
      </c>
      <c r="J286" s="26">
        <f>I286/Supuestos!$B$34</f>
      </c>
    </row>
    <row r="287" spans="1:10" x14ac:dyDescent="0.25">
      <c r="A287" s="23" t="s">
        <v>482</v>
      </c>
      <c r="B287" s="23" t="s">
        <v>673</v>
      </c>
      <c r="C287" s="23" t="s">
        <v>709</v>
      </c>
      <c r="D287" s="23" t="s">
        <v>710</v>
      </c>
      <c r="E287" s="23" t="s">
        <v>118</v>
      </c>
      <c r="F287" s="24">
        <v>16</v>
      </c>
      <c r="G287" s="24">
        <f>F287/Supuestos!$B$34</f>
      </c>
      <c r="H287" s="25">
        <v>824.85</v>
      </c>
      <c r="I287" s="26">
        <f>F287*H287</f>
      </c>
      <c r="J287" s="26">
        <f>I287/Supuestos!$B$34</f>
      </c>
    </row>
    <row r="288" spans="1:10" x14ac:dyDescent="0.25">
      <c r="A288" s="23" t="s">
        <v>482</v>
      </c>
      <c r="B288" s="23" t="s">
        <v>673</v>
      </c>
      <c r="C288" s="23" t="s">
        <v>711</v>
      </c>
      <c r="D288" s="23" t="s">
        <v>712</v>
      </c>
      <c r="E288" s="23" t="s">
        <v>118</v>
      </c>
      <c r="F288" s="24">
        <v>2</v>
      </c>
      <c r="G288" s="24">
        <f>F288/Supuestos!$B$34</f>
      </c>
      <c r="H288" s="25">
        <v>1030.93</v>
      </c>
      <c r="I288" s="26">
        <f>F288*H288</f>
      </c>
      <c r="J288" s="26">
        <f>I288/Supuestos!$B$34</f>
      </c>
    </row>
    <row r="289" spans="1:10" x14ac:dyDescent="0.25">
      <c r="A289" s="23" t="s">
        <v>482</v>
      </c>
      <c r="B289" s="23" t="s">
        <v>673</v>
      </c>
      <c r="C289" s="23" t="s">
        <v>713</v>
      </c>
      <c r="D289" s="23" t="s">
        <v>714</v>
      </c>
      <c r="E289" s="23" t="s">
        <v>118</v>
      </c>
      <c r="F289" s="24">
        <v>16</v>
      </c>
      <c r="G289" s="24">
        <f>F289/Supuestos!$B$34</f>
      </c>
      <c r="H289" s="25">
        <v>2181.32</v>
      </c>
      <c r="I289" s="26">
        <f>F289*H289</f>
      </c>
      <c r="J289" s="26">
        <f>I289/Supuestos!$B$34</f>
      </c>
    </row>
    <row r="290" spans="1:10" x14ac:dyDescent="0.25">
      <c r="A290" s="23" t="s">
        <v>482</v>
      </c>
      <c r="B290" s="23" t="s">
        <v>673</v>
      </c>
      <c r="C290" s="23" t="s">
        <v>715</v>
      </c>
      <c r="D290" s="23" t="s">
        <v>716</v>
      </c>
      <c r="E290" s="23" t="s">
        <v>136</v>
      </c>
      <c r="F290" s="24">
        <v>178.48</v>
      </c>
      <c r="G290" s="24">
        <f>F290/Supuestos!$B$34</f>
      </c>
      <c r="H290" s="25">
        <v>146.46</v>
      </c>
      <c r="I290" s="26">
        <f>F290*H290</f>
      </c>
      <c r="J290" s="26">
        <f>I290/Supuestos!$B$34</f>
      </c>
    </row>
    <row r="291" spans="1:10" x14ac:dyDescent="0.25">
      <c r="A291" s="23" t="s">
        <v>482</v>
      </c>
      <c r="B291" s="23" t="s">
        <v>673</v>
      </c>
      <c r="C291" s="23" t="s">
        <v>717</v>
      </c>
      <c r="D291" s="23" t="s">
        <v>718</v>
      </c>
      <c r="E291" s="23" t="s">
        <v>128</v>
      </c>
      <c r="F291" s="24">
        <v>120.55</v>
      </c>
      <c r="G291" s="24">
        <f>F291/Supuestos!$B$34</f>
      </c>
      <c r="H291" s="25">
        <v>45.26</v>
      </c>
      <c r="I291" s="26">
        <f>F291*H291</f>
      </c>
      <c r="J291" s="26">
        <f>I291/Supuestos!$B$34</f>
      </c>
    </row>
    <row r="292" spans="1:10" x14ac:dyDescent="0.25">
      <c r="A292" s="23" t="s">
        <v>482</v>
      </c>
      <c r="B292" s="23" t="s">
        <v>673</v>
      </c>
      <c r="C292" s="23" t="s">
        <v>719</v>
      </c>
      <c r="D292" s="23" t="s">
        <v>720</v>
      </c>
      <c r="E292" s="23" t="s">
        <v>128</v>
      </c>
      <c r="F292" s="24">
        <v>3</v>
      </c>
      <c r="G292" s="24">
        <f>F292/Supuestos!$B$34</f>
      </c>
      <c r="H292" s="25">
        <v>75.65</v>
      </c>
      <c r="I292" s="26">
        <f>F292*H292</f>
      </c>
      <c r="J292" s="26">
        <f>I292/Supuestos!$B$34</f>
      </c>
    </row>
    <row r="293" spans="1:10" x14ac:dyDescent="0.25">
      <c r="A293" s="23" t="s">
        <v>482</v>
      </c>
      <c r="B293" s="23" t="s">
        <v>673</v>
      </c>
      <c r="C293" s="23" t="s">
        <v>721</v>
      </c>
      <c r="D293" s="23" t="s">
        <v>722</v>
      </c>
      <c r="E293" s="23" t="s">
        <v>128</v>
      </c>
      <c r="F293" s="24">
        <v>478.85</v>
      </c>
      <c r="G293" s="24">
        <f>F293/Supuestos!$B$34</f>
      </c>
      <c r="H293" s="25">
        <v>83.42</v>
      </c>
      <c r="I293" s="26">
        <f>F293*H293</f>
      </c>
      <c r="J293" s="26">
        <f>I293/Supuestos!$B$34</f>
      </c>
    </row>
    <row r="294" spans="1:10" x14ac:dyDescent="0.25">
      <c r="A294" s="23" t="s">
        <v>482</v>
      </c>
      <c r="B294" s="23" t="s">
        <v>673</v>
      </c>
      <c r="C294" s="23" t="s">
        <v>723</v>
      </c>
      <c r="D294" s="23" t="s">
        <v>724</v>
      </c>
      <c r="E294" s="23" t="s">
        <v>128</v>
      </c>
      <c r="F294" s="24">
        <v>16</v>
      </c>
      <c r="G294" s="24">
        <f>F294/Supuestos!$B$34</f>
      </c>
      <c r="H294" s="25">
        <v>105.74</v>
      </c>
      <c r="I294" s="26">
        <f>F294*H294</f>
      </c>
      <c r="J294" s="26">
        <f>I294/Supuestos!$B$34</f>
      </c>
    </row>
    <row r="295" spans="1:10" x14ac:dyDescent="0.25">
      <c r="A295" s="23" t="s">
        <v>482</v>
      </c>
      <c r="B295" s="23" t="s">
        <v>725</v>
      </c>
      <c r="C295" s="23" t="s">
        <v>726</v>
      </c>
      <c r="D295" s="23" t="s">
        <v>727</v>
      </c>
      <c r="E295" s="23" t="s">
        <v>128</v>
      </c>
      <c r="F295" s="24">
        <v>1</v>
      </c>
      <c r="G295" s="24">
        <f>F295/Supuestos!$B$34</f>
      </c>
      <c r="H295" s="25">
        <v>31714.16</v>
      </c>
      <c r="I295" s="26">
        <f>F295*H295</f>
      </c>
      <c r="J295" s="26">
        <f>I295/Supuestos!$B$34</f>
      </c>
    </row>
    <row r="296" spans="1:10" x14ac:dyDescent="0.25">
      <c r="A296" s="23" t="s">
        <v>482</v>
      </c>
      <c r="B296" s="23" t="s">
        <v>475</v>
      </c>
      <c r="C296" s="23" t="s">
        <v>728</v>
      </c>
      <c r="D296" s="23" t="s">
        <v>729</v>
      </c>
      <c r="E296" s="23" t="s">
        <v>118</v>
      </c>
      <c r="F296" s="24">
        <v>48</v>
      </c>
      <c r="G296" s="24">
        <f>F296/Supuestos!$B$34</f>
      </c>
      <c r="H296" s="25">
        <v>63.47</v>
      </c>
      <c r="I296" s="26">
        <f>F296*H296</f>
      </c>
      <c r="J296" s="26">
        <f>I296/Supuestos!$B$34</f>
      </c>
    </row>
    <row r="297" spans="1:10" x14ac:dyDescent="0.25">
      <c r="A297" s="23" t="s">
        <v>482</v>
      </c>
      <c r="B297" s="23" t="s">
        <v>475</v>
      </c>
      <c r="C297" s="23" t="s">
        <v>730</v>
      </c>
      <c r="D297" s="23" t="s">
        <v>731</v>
      </c>
      <c r="E297" s="23" t="s">
        <v>118</v>
      </c>
      <c r="F297" s="24">
        <v>64</v>
      </c>
      <c r="G297" s="24">
        <f>F297/Supuestos!$B$34</f>
      </c>
      <c r="H297" s="25">
        <v>63.46</v>
      </c>
      <c r="I297" s="26">
        <f>F297*H297</f>
      </c>
      <c r="J297" s="26">
        <f>I297/Supuestos!$B$34</f>
      </c>
    </row>
    <row r="298" spans="1:10" x14ac:dyDescent="0.25">
      <c r="A298" s="23" t="s">
        <v>482</v>
      </c>
      <c r="B298" s="23" t="s">
        <v>475</v>
      </c>
      <c r="C298" s="23" t="s">
        <v>732</v>
      </c>
      <c r="D298" s="23" t="s">
        <v>733</v>
      </c>
      <c r="E298" s="23" t="s">
        <v>118</v>
      </c>
      <c r="F298" s="24">
        <v>16</v>
      </c>
      <c r="G298" s="24">
        <f>F298/Supuestos!$B$34</f>
      </c>
      <c r="H298" s="25">
        <v>81.55</v>
      </c>
      <c r="I298" s="26">
        <f>F298*H298</f>
      </c>
      <c r="J298" s="26">
        <f>I298/Supuestos!$B$34</f>
      </c>
    </row>
    <row r="299" spans="1:10" x14ac:dyDescent="0.25">
      <c r="A299" s="23" t="s">
        <v>482</v>
      </c>
      <c r="B299" s="23" t="s">
        <v>475</v>
      </c>
      <c r="C299" s="23" t="s">
        <v>734</v>
      </c>
      <c r="D299" s="23" t="s">
        <v>735</v>
      </c>
      <c r="E299" s="23" t="s">
        <v>700</v>
      </c>
      <c r="F299" s="24">
        <v>48</v>
      </c>
      <c r="G299" s="24">
        <f>F299/Supuestos!$B$34</f>
      </c>
      <c r="H299" s="25">
        <v>42.87</v>
      </c>
      <c r="I299" s="26">
        <f>F299*H299</f>
      </c>
      <c r="J299" s="26">
        <f>I299/Supuestos!$B$34</f>
      </c>
    </row>
    <row r="300" spans="1:10" x14ac:dyDescent="0.25">
      <c r="A300" s="23" t="s">
        <v>482</v>
      </c>
      <c r="B300" s="23" t="s">
        <v>475</v>
      </c>
      <c r="C300" s="23" t="s">
        <v>736</v>
      </c>
      <c r="D300" s="23" t="s">
        <v>737</v>
      </c>
      <c r="E300" s="23" t="s">
        <v>700</v>
      </c>
      <c r="F300" s="24">
        <v>16</v>
      </c>
      <c r="G300" s="24">
        <f>F300/Supuestos!$B$34</f>
      </c>
      <c r="H300" s="25">
        <v>6.39</v>
      </c>
      <c r="I300" s="26">
        <f>F300*H300</f>
      </c>
      <c r="J300" s="26">
        <f>I300/Supuestos!$B$34</f>
      </c>
    </row>
    <row r="301" spans="1:10" x14ac:dyDescent="0.25">
      <c r="A301" s="23" t="s">
        <v>482</v>
      </c>
      <c r="B301" s="23" t="s">
        <v>475</v>
      </c>
      <c r="C301" s="23" t="s">
        <v>738</v>
      </c>
      <c r="D301" s="23" t="s">
        <v>739</v>
      </c>
      <c r="E301" s="23" t="s">
        <v>700</v>
      </c>
      <c r="F301" s="24">
        <v>16</v>
      </c>
      <c r="G301" s="24">
        <f>F301/Supuestos!$B$34</f>
      </c>
      <c r="H301" s="25">
        <v>10.53</v>
      </c>
      <c r="I301" s="26">
        <f>F301*H301</f>
      </c>
      <c r="J301" s="26">
        <f>I301/Supuestos!$B$34</f>
      </c>
    </row>
    <row r="302" spans="1:10" x14ac:dyDescent="0.25">
      <c r="A302" s="23" t="s">
        <v>482</v>
      </c>
      <c r="B302" s="23" t="s">
        <v>475</v>
      </c>
      <c r="C302" s="23" t="s">
        <v>740</v>
      </c>
      <c r="D302" s="23" t="s">
        <v>741</v>
      </c>
      <c r="E302" s="23" t="s">
        <v>700</v>
      </c>
      <c r="F302" s="24">
        <v>16</v>
      </c>
      <c r="G302" s="24">
        <f>F302/Supuestos!$B$34</f>
      </c>
      <c r="H302" s="25">
        <v>90.25</v>
      </c>
      <c r="I302" s="26">
        <f>F302*H302</f>
      </c>
      <c r="J302" s="26">
        <f>I302/Supuestos!$B$34</f>
      </c>
    </row>
    <row r="303" spans="1:10" x14ac:dyDescent="0.25">
      <c r="A303" s="23" t="s">
        <v>482</v>
      </c>
      <c r="B303" s="23" t="s">
        <v>475</v>
      </c>
      <c r="C303" s="23" t="s">
        <v>742</v>
      </c>
      <c r="D303" s="23" t="s">
        <v>743</v>
      </c>
      <c r="E303" s="23" t="s">
        <v>700</v>
      </c>
      <c r="F303" s="24">
        <v>16</v>
      </c>
      <c r="G303" s="24">
        <f>F303/Supuestos!$B$34</f>
      </c>
      <c r="H303" s="25">
        <v>84.99</v>
      </c>
      <c r="I303" s="26">
        <f>F303*H303</f>
      </c>
      <c r="J303" s="26">
        <f>I303/Supuestos!$B$34</f>
      </c>
    </row>
    <row r="304" spans="1:10" x14ac:dyDescent="0.25">
      <c r="A304" s="23" t="s">
        <v>482</v>
      </c>
      <c r="B304" s="23" t="s">
        <v>475</v>
      </c>
      <c r="C304" s="23" t="s">
        <v>744</v>
      </c>
      <c r="D304" s="23" t="s">
        <v>745</v>
      </c>
      <c r="E304" s="23" t="s">
        <v>700</v>
      </c>
      <c r="F304" s="24">
        <v>16</v>
      </c>
      <c r="G304" s="24">
        <f>F304/Supuestos!$B$34</f>
      </c>
      <c r="H304" s="25">
        <v>233.37</v>
      </c>
      <c r="I304" s="26">
        <f>F304*H304</f>
      </c>
      <c r="J304" s="26">
        <f>I304/Supuestos!$B$34</f>
      </c>
    </row>
    <row r="305" spans="1:10" x14ac:dyDescent="0.25">
      <c r="A305" s="23" t="s">
        <v>482</v>
      </c>
      <c r="B305" s="23" t="s">
        <v>475</v>
      </c>
      <c r="C305" s="23" t="s">
        <v>746</v>
      </c>
      <c r="D305" s="23" t="s">
        <v>747</v>
      </c>
      <c r="E305" s="23" t="s">
        <v>118</v>
      </c>
      <c r="F305" s="24">
        <v>1</v>
      </c>
      <c r="G305" s="24">
        <f>F305/Supuestos!$B$34</f>
      </c>
      <c r="H305" s="25">
        <v>197.97</v>
      </c>
      <c r="I305" s="26">
        <f>F305*H305</f>
      </c>
      <c r="J305" s="26">
        <f>I305/Supuestos!$B$34</f>
      </c>
    </row>
    <row r="306" spans="1:10" x14ac:dyDescent="0.25">
      <c r="A306" s="23" t="s">
        <v>482</v>
      </c>
      <c r="B306" s="23" t="s">
        <v>475</v>
      </c>
      <c r="C306" s="23" t="s">
        <v>748</v>
      </c>
      <c r="D306" s="23" t="s">
        <v>749</v>
      </c>
      <c r="E306" s="23" t="s">
        <v>118</v>
      </c>
      <c r="F306" s="24">
        <v>16</v>
      </c>
      <c r="G306" s="24">
        <f>F306/Supuestos!$B$34</f>
      </c>
      <c r="H306" s="25">
        <v>1530.39</v>
      </c>
      <c r="I306" s="26">
        <f>F306*H306</f>
      </c>
      <c r="J306" s="26">
        <f>I306/Supuestos!$B$34</f>
      </c>
    </row>
    <row r="307" spans="1:10" x14ac:dyDescent="0.25">
      <c r="A307" s="23" t="s">
        <v>482</v>
      </c>
      <c r="B307" s="23" t="s">
        <v>750</v>
      </c>
      <c r="C307" s="23" t="s">
        <v>751</v>
      </c>
      <c r="D307" s="23" t="s">
        <v>752</v>
      </c>
      <c r="E307" s="23" t="s">
        <v>490</v>
      </c>
      <c r="F307" s="24">
        <v>612.75</v>
      </c>
      <c r="G307" s="24">
        <f>F307/Supuestos!$B$34</f>
      </c>
      <c r="H307" s="25">
        <v>4.47</v>
      </c>
      <c r="I307" s="26">
        <f>F307*H307</f>
      </c>
      <c r="J307" s="26">
        <f>I307/Supuestos!$B$34</f>
      </c>
    </row>
    <row r="308" spans="1:10" x14ac:dyDescent="0.25">
      <c r="A308" s="23" t="s">
        <v>482</v>
      </c>
      <c r="B308" s="23" t="s">
        <v>750</v>
      </c>
      <c r="C308" s="23" t="s">
        <v>753</v>
      </c>
      <c r="D308" s="23" t="s">
        <v>754</v>
      </c>
      <c r="E308" s="23" t="s">
        <v>490</v>
      </c>
      <c r="F308" s="24">
        <v>612.75</v>
      </c>
      <c r="G308" s="24">
        <f>F308/Supuestos!$B$34</f>
      </c>
      <c r="H308" s="25">
        <v>1.01</v>
      </c>
      <c r="I308" s="26">
        <f>F308*H308</f>
      </c>
      <c r="J308" s="26">
        <f>I308/Supuestos!$B$34</f>
      </c>
    </row>
    <row r="309" spans="1:10" x14ac:dyDescent="0.25">
      <c r="A309" s="23" t="s">
        <v>482</v>
      </c>
      <c r="B309" s="23" t="s">
        <v>750</v>
      </c>
      <c r="C309" s="23" t="s">
        <v>755</v>
      </c>
      <c r="D309" s="23" t="s">
        <v>756</v>
      </c>
      <c r="E309" s="23" t="s">
        <v>118</v>
      </c>
      <c r="F309" s="24">
        <v>16</v>
      </c>
      <c r="G309" s="24">
        <f>F309/Supuestos!$B$34</f>
      </c>
      <c r="H309" s="25">
        <v>51.69</v>
      </c>
      <c r="I309" s="26">
        <f>F309*H309</f>
      </c>
      <c r="J309" s="26">
        <f>I309/Supuestos!$B$34</f>
      </c>
    </row>
    <row r="310" spans="1:10" x14ac:dyDescent="0.25">
      <c r="A310" s="23" t="s">
        <v>482</v>
      </c>
      <c r="B310" s="23" t="s">
        <v>750</v>
      </c>
      <c r="C310" s="23" t="s">
        <v>757</v>
      </c>
      <c r="D310" s="23" t="s">
        <v>758</v>
      </c>
      <c r="E310" s="23" t="s">
        <v>118</v>
      </c>
      <c r="F310" s="24">
        <v>16</v>
      </c>
      <c r="G310" s="24">
        <f>F310/Supuestos!$B$34</f>
      </c>
      <c r="H310" s="25">
        <v>51.69</v>
      </c>
      <c r="I310" s="26">
        <f>F310*H310</f>
      </c>
      <c r="J310" s="26">
        <f>I310/Supuestos!$B$34</f>
      </c>
    </row>
    <row r="311" spans="1:10" x14ac:dyDescent="0.25">
      <c r="A311" s="23" t="s">
        <v>482</v>
      </c>
      <c r="B311" s="23" t="s">
        <v>750</v>
      </c>
      <c r="C311" s="23" t="s">
        <v>759</v>
      </c>
      <c r="D311" s="23" t="s">
        <v>760</v>
      </c>
      <c r="E311" s="23" t="s">
        <v>118</v>
      </c>
      <c r="F311" s="24">
        <v>16</v>
      </c>
      <c r="G311" s="24">
        <f>F311/Supuestos!$B$34</f>
      </c>
      <c r="H311" s="25">
        <v>51.66</v>
      </c>
      <c r="I311" s="26">
        <f>F311*H311</f>
      </c>
      <c r="J311" s="26">
        <f>I311/Supuestos!$B$34</f>
      </c>
    </row>
    <row r="312" spans="1:10" x14ac:dyDescent="0.25">
      <c r="A312" s="23" t="s">
        <v>482</v>
      </c>
      <c r="B312" s="23" t="s">
        <v>750</v>
      </c>
      <c r="C312" s="23" t="s">
        <v>761</v>
      </c>
      <c r="D312" s="23" t="s">
        <v>762</v>
      </c>
      <c r="E312" s="23" t="s">
        <v>118</v>
      </c>
      <c r="F312" s="24">
        <v>16</v>
      </c>
      <c r="G312" s="24">
        <f>F312/Supuestos!$B$34</f>
      </c>
      <c r="H312" s="25">
        <v>51.66</v>
      </c>
      <c r="I312" s="26">
        <f>F312*H312</f>
      </c>
      <c r="J312" s="26">
        <f>I312/Supuestos!$B$34</f>
      </c>
    </row>
    <row r="313" spans="1:10" x14ac:dyDescent="0.25">
      <c r="A313" s="23" t="s">
        <v>482</v>
      </c>
      <c r="B313" s="23" t="s">
        <v>750</v>
      </c>
      <c r="C313" s="23" t="s">
        <v>763</v>
      </c>
      <c r="D313" s="23" t="s">
        <v>764</v>
      </c>
      <c r="E313" s="23" t="s">
        <v>118</v>
      </c>
      <c r="F313" s="24">
        <v>16</v>
      </c>
      <c r="G313" s="24">
        <f>F313/Supuestos!$B$34</f>
      </c>
      <c r="H313" s="25">
        <v>51.68</v>
      </c>
      <c r="I313" s="26">
        <f>F313*H313</f>
      </c>
      <c r="J313" s="26">
        <f>I313/Supuestos!$B$34</f>
      </c>
    </row>
    <row r="314" spans="1:10" x14ac:dyDescent="0.25">
      <c r="A314" s="23" t="s">
        <v>482</v>
      </c>
      <c r="B314" s="23" t="s">
        <v>750</v>
      </c>
      <c r="C314" s="23" t="s">
        <v>765</v>
      </c>
      <c r="D314" s="23" t="s">
        <v>766</v>
      </c>
      <c r="E314" s="23" t="s">
        <v>118</v>
      </c>
      <c r="F314" s="24">
        <v>80</v>
      </c>
      <c r="G314" s="24">
        <f>F314/Supuestos!$B$34</f>
      </c>
      <c r="H314" s="25">
        <v>57.76</v>
      </c>
      <c r="I314" s="26">
        <f>F314*H314</f>
      </c>
      <c r="J314" s="26">
        <f>I314/Supuestos!$B$34</f>
      </c>
    </row>
    <row r="316" spans="4:9" x14ac:dyDescent="0.25">
      <c r="D316" s="7" t="s">
        <v>767</v>
      </c>
      <c r="I316" s="8">
        <f>SUM(I5:I314)</f>
      </c>
    </row>
    <row r="317" spans="4:9" x14ac:dyDescent="0.25">
      <c r="D317" s="5" t="s">
        <v>768</v>
      </c>
      <c r="I317" s="10">
        <v>2915671.71</v>
      </c>
    </row>
  </sheetData>
  <autoFilter ref="A4:J3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0" customWidth="1"/>
    <col min="2" max="2" width="7" customWidth="1"/>
    <col min="3" max="3" width="12" customWidth="1"/>
    <col min="4" max="5" width="14" customWidth="1"/>
    <col min="6" max="6" width="60" customWidth="1"/>
  </cols>
  <sheetData>
    <row r="1" spans="1:1" x14ac:dyDescent="0.25">
      <c r="A1" s="14" t="s">
        <v>769</v>
      </c>
    </row>
    <row r="2" spans="1:1" x14ac:dyDescent="0.25">
      <c r="A2" s="2" t="s">
        <v>770</v>
      </c>
    </row>
    <row r="4" ht="30" customHeight="1" spans="1:6" x14ac:dyDescent="0.25">
      <c r="A4" s="3" t="s">
        <v>771</v>
      </c>
      <c r="B4" s="3" t="s">
        <v>118</v>
      </c>
      <c r="C4" s="3" t="s">
        <v>772</v>
      </c>
      <c r="D4" s="3" t="s">
        <v>773</v>
      </c>
      <c r="E4" s="3" t="s">
        <v>774</v>
      </c>
      <c r="F4" s="3" t="s">
        <v>775</v>
      </c>
    </row>
    <row r="5" spans="1:6" x14ac:dyDescent="0.25">
      <c r="A5" s="5" t="s">
        <v>776</v>
      </c>
      <c r="B5" s="5" t="s">
        <v>424</v>
      </c>
      <c r="C5" s="21">
        <f>Supuestos!$B$6*Supuestos!$B$8</f>
      </c>
      <c r="D5" s="27">
        <f>Supuestos!$B$7</f>
      </c>
      <c r="E5" s="6">
        <f>C5*D5</f>
      </c>
      <c r="F5" s="5" t="s">
        <v>777</v>
      </c>
    </row>
    <row r="6" spans="1:6" x14ac:dyDescent="0.25">
      <c r="A6" s="5" t="s">
        <v>778</v>
      </c>
      <c r="B6" s="5" t="s">
        <v>136</v>
      </c>
      <c r="C6" s="21">
        <f>Supuestos!$B$9</f>
      </c>
      <c r="D6" s="27">
        <f>(Supuestos!$B$18*(1+Supuestos!$B$5)*(1+Supuestos!$B$17)+Supuestos!$B$16*Supuestos!$B$15)</f>
      </c>
      <c r="E6" s="6">
        <f>C6*D6</f>
      </c>
      <c r="F6" s="5" t="s">
        <v>779</v>
      </c>
    </row>
    <row r="7" spans="1:6" x14ac:dyDescent="0.25">
      <c r="A7" s="5" t="s">
        <v>780</v>
      </c>
      <c r="B7" s="5" t="s">
        <v>136</v>
      </c>
      <c r="C7" s="21">
        <f>Supuestos!$B$9</f>
      </c>
      <c r="D7" s="27">
        <f>Supuestos!$B$21</f>
      </c>
      <c r="E7" s="6">
        <f>C7*D7</f>
      </c>
      <c r="F7" s="5" t="s">
        <v>781</v>
      </c>
    </row>
    <row r="8" spans="1:6" x14ac:dyDescent="0.25">
      <c r="A8" s="5" t="s">
        <v>782</v>
      </c>
      <c r="B8" s="5" t="s">
        <v>136</v>
      </c>
      <c r="C8" s="21">
        <f>Supuestos!$B$9</f>
      </c>
      <c r="D8" s="27">
        <f>Supuestos!$B$22</f>
      </c>
      <c r="E8" s="6">
        <f>C8*D8</f>
      </c>
      <c r="F8" s="5" t="s">
        <v>11</v>
      </c>
    </row>
    <row r="9" spans="1:6" x14ac:dyDescent="0.25">
      <c r="A9" s="5" t="s">
        <v>783</v>
      </c>
      <c r="B9" s="5" t="s">
        <v>136</v>
      </c>
      <c r="C9" s="21">
        <f>Supuestos!$B$10</f>
      </c>
      <c r="D9" s="27">
        <f>Supuestos!$B$23</f>
      </c>
      <c r="E9" s="6">
        <f>C9*D9</f>
      </c>
      <c r="F9" s="5" t="s">
        <v>784</v>
      </c>
    </row>
    <row r="10" spans="1:6" x14ac:dyDescent="0.25">
      <c r="A10" s="5" t="s">
        <v>785</v>
      </c>
      <c r="B10" s="5" t="s">
        <v>136</v>
      </c>
      <c r="C10" s="21">
        <f>Supuestos!$B$11</f>
      </c>
      <c r="D10" s="27">
        <f>13.56*(1+Supuestos!$B$5)</f>
      </c>
      <c r="E10" s="6">
        <f>C10*D10</f>
      </c>
      <c r="F10" s="5" t="s">
        <v>786</v>
      </c>
    </row>
    <row r="11" spans="1:6" x14ac:dyDescent="0.25">
      <c r="A11" s="5" t="s">
        <v>787</v>
      </c>
      <c r="B11" s="5" t="s">
        <v>136</v>
      </c>
      <c r="C11" s="21">
        <f>Supuestos!$B$12</f>
      </c>
      <c r="D11" s="27">
        <f>(Supuestos!$B$19*(1+Supuestos!$B$5)*(1+Supuestos!$B$17)+Supuestos!$B$16*Supuestos!$B$15)</f>
      </c>
      <c r="E11" s="6">
        <f>C11*D11</f>
      </c>
      <c r="F11" s="5" t="s">
        <v>11</v>
      </c>
    </row>
    <row r="12" spans="1:6" x14ac:dyDescent="0.25">
      <c r="A12" s="5" t="s">
        <v>788</v>
      </c>
      <c r="B12" s="5" t="s">
        <v>136</v>
      </c>
      <c r="C12" s="21">
        <f>Supuestos!$B$12</f>
      </c>
      <c r="D12" s="27">
        <f>Supuestos!$B$24</f>
      </c>
      <c r="E12" s="6">
        <f>C12*D12</f>
      </c>
      <c r="F12" s="5" t="s">
        <v>789</v>
      </c>
    </row>
    <row r="13" spans="1:6" x14ac:dyDescent="0.25">
      <c r="A13" s="5" t="s">
        <v>790</v>
      </c>
      <c r="B13" s="5" t="s">
        <v>136</v>
      </c>
      <c r="C13" s="21">
        <f>Supuestos!$B$13</f>
      </c>
      <c r="D13" s="27">
        <f>(Supuestos!$B$20*(1+Supuestos!$B$5)*(1+Supuestos!$B$17)+Supuestos!$B$16*Supuestos!$B$15)</f>
      </c>
      <c r="E13" s="6">
        <f>C13*D13</f>
      </c>
      <c r="F13" s="5" t="s">
        <v>791</v>
      </c>
    </row>
    <row r="14" spans="1:6" x14ac:dyDescent="0.25">
      <c r="A14" s="5" t="s">
        <v>792</v>
      </c>
      <c r="B14" s="5" t="s">
        <v>136</v>
      </c>
      <c r="C14" s="21">
        <f>Supuestos!$B$14</f>
      </c>
      <c r="D14" s="27">
        <f>(Supuestos!$B$19*(1+Supuestos!$B$5)*(1+Supuestos!$B$17)+Supuestos!$B$16*Supuestos!$B$15)</f>
      </c>
      <c r="E14" s="6">
        <f>C14*D14</f>
      </c>
      <c r="F14" s="5" t="s">
        <v>793</v>
      </c>
    </row>
    <row r="15" spans="1:6" x14ac:dyDescent="0.25">
      <c r="A15" s="5" t="s">
        <v>794</v>
      </c>
      <c r="B15" s="5" t="s">
        <v>700</v>
      </c>
      <c r="C15" s="21">
        <f>1</f>
      </c>
      <c r="D15" s="27">
        <f>Supuestos!$B$25</f>
      </c>
      <c r="E15" s="6">
        <f>C15*D15</f>
      </c>
      <c r="F15" s="5" t="s">
        <v>795</v>
      </c>
    </row>
    <row r="16" spans="1:6" x14ac:dyDescent="0.25">
      <c r="A16" s="5" t="s">
        <v>796</v>
      </c>
      <c r="B16" s="5" t="s">
        <v>700</v>
      </c>
      <c r="C16" s="21">
        <f>1</f>
      </c>
      <c r="D16" s="27">
        <f>Supuestos!$B$26</f>
      </c>
      <c r="E16" s="6">
        <f>C16*D16</f>
      </c>
      <c r="F16" s="5" t="s">
        <v>11</v>
      </c>
    </row>
    <row r="17" spans="1:6" x14ac:dyDescent="0.25">
      <c r="A17" s="5" t="s">
        <v>797</v>
      </c>
      <c r="B17" s="5" t="s">
        <v>700</v>
      </c>
      <c r="C17" s="21">
        <f>1</f>
      </c>
      <c r="D17" s="27">
        <f>Supuestos!$B$27</f>
      </c>
      <c r="E17" s="6">
        <f>C17*D17</f>
      </c>
      <c r="F17" s="5" t="s">
        <v>11</v>
      </c>
    </row>
    <row r="18" spans="1:5" x14ac:dyDescent="0.25">
      <c r="A18" s="7" t="s">
        <v>798</v>
      </c>
      <c r="E18" s="8">
        <f>SUM(E5:E17)</f>
      </c>
    </row>
    <row r="20" spans="1:1" x14ac:dyDescent="0.25">
      <c r="A20" s="7" t="s">
        <v>799</v>
      </c>
    </row>
    <row r="21" ht="30" customHeight="1" spans="1:6" x14ac:dyDescent="0.25">
      <c r="A21" s="3" t="s">
        <v>771</v>
      </c>
      <c r="B21" s="3" t="s">
        <v>118</v>
      </c>
      <c r="C21" s="3" t="s">
        <v>772</v>
      </c>
      <c r="D21" s="3" t="s">
        <v>773</v>
      </c>
      <c r="E21" s="3" t="s">
        <v>774</v>
      </c>
      <c r="F21" s="3" t="s">
        <v>775</v>
      </c>
    </row>
    <row r="22" spans="1:6" x14ac:dyDescent="0.25">
      <c r="A22" s="5" t="s">
        <v>800</v>
      </c>
      <c r="B22" s="5" t="s">
        <v>700</v>
      </c>
      <c r="C22" s="21">
        <f>Supuestos!$B$28</f>
      </c>
      <c r="D22" s="27">
        <f>Supuestos!$B$29*(1+Supuestos!$B$5)</f>
      </c>
      <c r="E22" s="6">
        <f>C22*D22</f>
      </c>
      <c r="F22" s="5" t="s">
        <v>11</v>
      </c>
    </row>
    <row r="23" spans="1:6" x14ac:dyDescent="0.25">
      <c r="A23" s="5" t="s">
        <v>801</v>
      </c>
      <c r="B23" s="5" t="s">
        <v>700</v>
      </c>
      <c r="C23" s="21">
        <f>1</f>
      </c>
      <c r="D23" s="27">
        <f>Supuestos!$B$30</f>
      </c>
      <c r="E23" s="6">
        <f>C23*D23</f>
      </c>
      <c r="F23" s="5" t="s">
        <v>802</v>
      </c>
    </row>
    <row r="24" spans="1:6" x14ac:dyDescent="0.25">
      <c r="A24" s="5" t="s">
        <v>803</v>
      </c>
      <c r="B24" s="5" t="s">
        <v>804</v>
      </c>
      <c r="C24" s="21">
        <f>Supuestos!$B$31</f>
      </c>
      <c r="D24" s="27">
        <f>Supuestos!$B$15*(1+Supuestos!$B$32)</f>
      </c>
      <c r="E24" s="6">
        <f>C24*D24</f>
      </c>
      <c r="F24" s="5" t="s">
        <v>11</v>
      </c>
    </row>
    <row r="25" spans="1:6" x14ac:dyDescent="0.25">
      <c r="A25" s="5" t="s">
        <v>805</v>
      </c>
      <c r="B25" s="5" t="s">
        <v>700</v>
      </c>
      <c r="C25" s="21">
        <f>1</f>
      </c>
      <c r="D25" s="27">
        <f>Supuestos!$B$33/Supuestos!$B$34</f>
      </c>
      <c r="E25" s="6">
        <f>C25*D25</f>
      </c>
      <c r="F25" s="5" t="s">
        <v>806</v>
      </c>
    </row>
    <row r="26" spans="1:6" x14ac:dyDescent="0.25">
      <c r="A26" s="5" t="s">
        <v>807</v>
      </c>
      <c r="B26" s="5" t="s">
        <v>700</v>
      </c>
      <c r="C26" s="21">
        <f>1</f>
      </c>
      <c r="D26" s="27">
        <f>Supuestos!$B$35/Supuestos!$B$36</f>
      </c>
      <c r="E26" s="6">
        <f>C26*D26</f>
      </c>
      <c r="F26" s="5" t="s">
        <v>808</v>
      </c>
    </row>
    <row r="27" spans="1:5" x14ac:dyDescent="0.25">
      <c r="A27" s="7" t="s">
        <v>809</v>
      </c>
      <c r="E27" s="8">
        <f>SUM(E22:E26)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Supuestos</vt:lpstr>
      <vt:lpstr>Proyecto por alcance</vt:lpstr>
      <vt:lpstr>Sistema modular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Montero</dc:creator>
  <dc:title/>
  <dc:subject/>
  <dc:description/>
  <cp:keywords/>
  <cp:category/>
  <cp:lastModifiedBy>Unknown</cp:lastModifiedBy>
  <dcterms:created xsi:type="dcterms:W3CDTF">2026-10-13T17:50:29Z</dcterms:created>
  <dcterms:modified xsi:type="dcterms:W3CDTF">2026-10-13T17:50:29Z</dcterms:modified>
</cp:coreProperties>
</file>