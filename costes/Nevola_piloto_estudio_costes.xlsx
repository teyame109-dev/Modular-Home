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piloto" state="visible" r:id="rId4"/>
    <sheet sheetId="2" name="Supuestos" state="visible" r:id="rId5"/>
    <sheet sheetId="3" name="Módulos" state="visible" r:id="rId6"/>
    <sheet sheetId="4" name="Acero" state="visible" r:id="rId7"/>
    <sheet sheetId="5" name="Sistema modular" state="visible" r:id="rId8"/>
    <sheet sheetId="6" name="Partidas iguales" state="visible" r:id="rId9"/>
    <sheet sheetId="7" name="Ahorros por calidades" state="visible" r:id="rId10"/>
    <sheet sheetId="8" name="Escenarios de margen" state="visible" r:id="rId11"/>
  </sheets>
  <calcPr calcId="171027" fullCalcOnLoad="1"/>
</workbook>
</file>

<file path=xl/sharedStrings.xml><?xml version="1.0" encoding="utf-8"?>
<sst xmlns="http://schemas.openxmlformats.org/spreadsheetml/2006/main" count="476" uniqueCount="345">
  <si>
    <t>NÉVOLA · VIVIENDA PILOTO EN SISTEMA MODULAR · ESTUDIO DE COSTES</t>
  </si>
  <si>
    <t>Pareada tipo de 148,30 m². Proyecto de ejecución de julio de 2026. Sin IVA. Dos escenarios: piloto como primera unidad de la serie, o piloto aislado.</t>
  </si>
  <si>
    <t>Concepto</t>
  </si>
  <si>
    <t>Piloto dentro de la serie</t>
  </si>
  <si>
    <t>Piloto aislado</t>
  </si>
  <si>
    <t>Estructura y envolvente modular (hoja Sistema modular)</t>
  </si>
  <si>
    <t>Partidas que se ejecutan igual (proyecto)</t>
  </si>
  <si>
    <t>Sobrecoste de primera unidad en mano de obra de fábrica</t>
  </si>
  <si>
    <t>Transporte de 6 módulos + pieza de vuelo</t>
  </si>
  <si>
    <t>Grúa (jornada completa)</t>
  </si>
  <si>
    <t>Montaje en parcela</t>
  </si>
  <si>
    <t>Ingeniería: cálculo modular y proyecto de fabricación</t>
  </si>
  <si>
    <t>Gastos fijos de fábrica imputados</t>
  </si>
  <si>
    <t>COSTE DEL PILOTO</t>
  </si>
  <si>
    <t>Margen RG21</t>
  </si>
  <si>
    <t>PRECIO DEL PILOTO (sin IVA)</t>
  </si>
  <si>
    <t>€/m² construido</t>
  </si>
  <si>
    <t/>
  </si>
  <si>
    <t>Referencia: contrata tradicional del mismo alcance (PEM del proyecto × 1,19)</t>
  </si>
  <si>
    <t>Diferencia con la contrata tradicional</t>
  </si>
  <si>
    <t>Precio del piloto en la propuesta integral</t>
  </si>
  <si>
    <t>LECTURA</t>
  </si>
  <si>
    <t>1. El acero medido sobre la modulación sale a 13.216 kg (89,1 kg/m²), en línea con Mahón (89 kg/m²). Es el 30 % del coste del sistema modular.</t>
  </si>
  <si>
    <t>2. La fachada medida (166,2 m² opacos) coincide con la del proyecto (166,5 m²). En pareadas, cada vivienda cierra sus módulos: 68,3 m² de medianera con panel.</t>
  </si>
  <si>
    <t>3. «Piloto dentro de la serie» reparte la ingeniería entre 16 y carga los gastos fijos al ritmo de 2 viviendas/mes. «Piloto aislado» carga toda la ingeniería y 1,5 meses de fábrica: es el coste real si después no hay serie.</t>
  </si>
  <si>
    <t>4. Ahorros posibles que no están aplicados: rediseño del módulo (cada 10 kg/m² ≈ 3.900 €), un 8–12 % en las partidas iguales por fabricar en taller, y medianera compartida entre las dos viviendas del pareado.</t>
  </si>
  <si>
    <t>SUPUESTOS DEL ESTUDIO DEL PILOTO</t>
  </si>
  <si>
    <t>Celdas rosadas con cifra en rojo minio = editables. Costes reales de fábrica de 2026; el margen se aplica una vez en el Resumen.</t>
  </si>
  <si>
    <t>Valor</t>
  </si>
  <si>
    <t>Origen</t>
  </si>
  <si>
    <t>Actualización de costes 2024→2026</t>
  </si>
  <si>
    <t>ACR 2025 +5,46 %; Banco de España abril 2026 +3,5 %</t>
  </si>
  <si>
    <t>Coste del acero fabricado (€/kg): material, corte, soldadura, imprimación y pintura</t>
  </si>
  <si>
    <t>Material 0,80 €/kg en 2024 (Mahón) + soldadura propia</t>
  </si>
  <si>
    <t>Mano de obra de fábrica (€/h)</t>
  </si>
  <si>
    <t>Nóminas DWHAI sep–nov 2024</t>
  </si>
  <si>
    <t>Horas de montaje de panel por m²</t>
  </si>
  <si>
    <t>Estimado</t>
  </si>
  <si>
    <t>Merma de panel</t>
  </si>
  <si>
    <t>Panel Tabihaus 8+50+8 (coste 2024 €/m²)</t>
  </si>
  <si>
    <t>Resumen Mahón 21/11/2024</t>
  </si>
  <si>
    <t>Panel Tabihaus 8+65+8 (coste 2024 €/m²)</t>
  </si>
  <si>
    <t>Panel Tabihaus 8+120+8 (coste 2024 €/m²)</t>
  </si>
  <si>
    <t>Trasdosado interior con aislamiento (€/m²)</t>
  </si>
  <si>
    <t>Precio del proyecto (Knauf W625)</t>
  </si>
  <si>
    <t>Suplemento de aislamiento para U = 0,20 en fachada (€/m²)</t>
  </si>
  <si>
    <t>PET 40 mm</t>
  </si>
  <si>
    <t>Acabado exterior sobre panel (€/m²)</t>
  </si>
  <si>
    <t>ESTIMADO: placa de cemento + monocapa / aplacado. Pedir precio</t>
  </si>
  <si>
    <t>Sistema de cubierta no transitable sobre panel (€/m²)</t>
  </si>
  <si>
    <t>Precio del proyecto (D08PD002)</t>
  </si>
  <si>
    <t>Sistema de cubierta transitable sobre panel (€/m²)</t>
  </si>
  <si>
    <t>Precio del proyecto (QAB010b)</t>
  </si>
  <si>
    <t>Sellado y tapajuntas entre módulos (€/m)</t>
  </si>
  <si>
    <t>Colectores suspendidos bajo planta baja (€)</t>
  </si>
  <si>
    <t>Proyecto / 16</t>
  </si>
  <si>
    <t>Ahorro de fábrica sobre las partidas que se hacen igual</t>
  </si>
  <si>
    <t>Prudente en el piloto: 0 %</t>
  </si>
  <si>
    <t>Sobrecoste de primera unidad sobre mano de obra de fábrica</t>
  </si>
  <si>
    <t>Curva de aprendizaje del prototipo</t>
  </si>
  <si>
    <t>Transporte por módulo (coste 2024 €)</t>
  </si>
  <si>
    <t>Sotopinilla 2024: 780 €</t>
  </si>
  <si>
    <t>Transporte de la pieza de vuelo lateral (0,60 × 8,47 m)</t>
  </si>
  <si>
    <t>Estimado: viaje aparte en camión pluma</t>
  </si>
  <si>
    <t>Grúa: jornada completa (coste 2024 €)</t>
  </si>
  <si>
    <t>Sotopinilla 2024 (Moreno)</t>
  </si>
  <si>
    <t>Horas de montaje en parcela</t>
  </si>
  <si>
    <t>3 operarios × 8 días (primera unidad)</t>
  </si>
  <si>
    <t>Dietas y desplazamientos sobre montaje</t>
  </si>
  <si>
    <t>Ingeniería: cálculo modular y proyecto de fabricación (€)</t>
  </si>
  <si>
    <t>Estimado, para toda la serie</t>
  </si>
  <si>
    <t>Gastos fijos de fábrica sin mano de obra (€/mes)</t>
  </si>
  <si>
    <t>Nave, oficina técnica, gestión, suministros, seguros</t>
  </si>
  <si>
    <t>Viviendas al mes en serie</t>
  </si>
  <si>
    <t>Meses de fábrica imputados al piloto si se fabrica aislado</t>
  </si>
  <si>
    <t>Primera unidad sin otras obras en la nave</t>
  </si>
  <si>
    <t>Margen RG21 (GG + beneficio)</t>
  </si>
  <si>
    <t>GG + BI de una contrata tradicional sobre PEM</t>
  </si>
  <si>
    <t>MODULACIÓN DE LA VIVIENDA PAREADA (piloto)</t>
  </si>
  <si>
    <t>Seis módulos de acero, tres por planta, con juntas alineadas con tabiques: anchos de 3,20 / 2,30 / 2,35 m (juntas a 3,20 y 5,50 m en planta baja). La planta primera vuela 0,60 m en frente y lateral; el vuelo lateral es una pieza aparte (V) que se atornilla al M4 en parcela. Exige desplazar 0,30 m el tabique del dormitorio 1 (pasa a 8,70 m²).</t>
  </si>
  <si>
    <t>Módulo</t>
  </si>
  <si>
    <t>Planta</t>
  </si>
  <si>
    <t>Ancho (m)</t>
  </si>
  <si>
    <t>Largo (m)</t>
  </si>
  <si>
    <t>Alto (m)</t>
  </si>
  <si>
    <t>Superficie (m²)</t>
  </si>
  <si>
    <t>Qué contiene</t>
  </si>
  <si>
    <t>M1</t>
  </si>
  <si>
    <t>PB</t>
  </si>
  <si>
    <t>Dormitorio 1, cocina, salón</t>
  </si>
  <si>
    <t>M2</t>
  </si>
  <si>
    <t>Vestíbulo, escalera, salón</t>
  </si>
  <si>
    <t>M3</t>
  </si>
  <si>
    <t>Baño 1, lavadero, escalera, salón (medianera)</t>
  </si>
  <si>
    <t>M4</t>
  </si>
  <si>
    <t>P1</t>
  </si>
  <si>
    <t>Dormitorio 3, baño 2, dormitorio principal · vuelo frontal 0,60</t>
  </si>
  <si>
    <t>M5</t>
  </si>
  <si>
    <t>Dormitorio 2, distribuidor, escalera, dormitorio principal</t>
  </si>
  <si>
    <t>M6</t>
  </si>
  <si>
    <t>Dormitorio 2, escalera, vestidor, baño principal (medianera)</t>
  </si>
  <si>
    <t>V</t>
  </si>
  <si>
    <t>Pieza de vuelo lateral, se monta en parcela (no es módulo volumétrico)</t>
  </si>
  <si>
    <t>TOTAL</t>
  </si>
  <si>
    <t>Transporte: el módulo más alto mide unos 3,05 m; en góndola rebajada (0,85 m) queda en ≈ 3,90 m, dentro del límite de 4,00 m. Ningún módulo pasa de 3,20 m de ancho: todos viajan sin transporte especial. La pieza de vuelo va aparte.</t>
  </si>
  <si>
    <t>MEDICIÓN DE ACERO POR ELEMENTO (tipología del proyecto de Mahón 182)</t>
  </si>
  <si>
    <t>Mismos perfiles y cuantías de correas y secundaria que Mahón; marcos, pilares y vuelos medidos sobre la modulación de Névola.</t>
  </si>
  <si>
    <t>Elemento</t>
  </si>
  <si>
    <t>Medición (m)</t>
  </si>
  <si>
    <t>kg/m</t>
  </si>
  <si>
    <t>kg</t>
  </si>
  <si>
    <t>Vigas de marco IPE 200 (suelo y techo)</t>
  </si>
  <si>
    <t>Pilares IPE 160 (6 ud × 2.65 m)</t>
  </si>
  <si>
    <t>Correas de suelo HEA 100 (0,64 m/m², como Mahón)</t>
  </si>
  <si>
    <t>Correas de techo SHS 60.40.3 (1,94 m/m², como Mahón)</t>
  </si>
  <si>
    <t>Angular L 80.8 de apoyo de panel (2,34 kg/m², como Mahón)</t>
  </si>
  <si>
    <t>Viga de borde frontal en vuelo IPE 220</t>
  </si>
  <si>
    <t>Pilares IPE 160 (8 ud × 2.65 m)</t>
  </si>
  <si>
    <t>Vuelo</t>
  </si>
  <si>
    <t>Voladizo lateral 0,60 × 8,47: bordes IPE 220</t>
  </si>
  <si>
    <t>Voladizo lateral: ménsulas IPE 160 cada 1,5 m (7 ud × 2 × 0,60)</t>
  </si>
  <si>
    <t>General</t>
  </si>
  <si>
    <t>Escalera metálica (zancas HEA 140 y peldaño)</t>
  </si>
  <si>
    <t>Refuerzos, remates y pletinas de arriostramiento (5,6 kg/m², como Mahón)</t>
  </si>
  <si>
    <t>TOTAL ACERO</t>
  </si>
  <si>
    <t>kg por m² construido (148,30 m²)</t>
  </si>
  <si>
    <t>Referencia Mahón (proyecto 182): 13.516 kg / 151,2 m² = 89 kg/m²</t>
  </si>
  <si>
    <t>COSTE DEL SISTEMA MODULAR DEL PILOTO (estructura, envolvente y forjados)</t>
  </si>
  <si>
    <t>Mediciones sobre la modulación. Sustituye estructura de hormigón, solera Cáviti, cubiertas, ladrillo, enfoscados, monocapa y aislamientos del proyecto.</t>
  </si>
  <si>
    <t>Partida</t>
  </si>
  <si>
    <t>Ud</t>
  </si>
  <si>
    <t>Medición</t>
  </si>
  <si>
    <t>Coste unitario</t>
  </si>
  <si>
    <t>Importe</t>
  </si>
  <si>
    <t>Medición / precio</t>
  </si>
  <si>
    <t>Estructura de acero de los 6 módulos (hoja Acero)</t>
  </si>
  <si>
    <t>Panel 8+50+8 en fachadas opacas (con petos)</t>
  </si>
  <si>
    <t>m²</t>
  </si>
  <si>
    <t>Fachada bruta 188,2 m² − 22 m² de huecos (proyecto: 166,5 m²)</t>
  </si>
  <si>
    <t>Panel 8+50+8 en medianera (cada vivienda cierra sus módulos)</t>
  </si>
  <si>
    <t>Planta baja 29,9 + planta primera 38,4 m²</t>
  </si>
  <si>
    <t>Panel 8+50+8 en la cara inferior de los vuelos</t>
  </si>
  <si>
    <t>Vuelo de 0,60 m en frente y lateral</t>
  </si>
  <si>
    <t>Trasdosado interior con aislamiento (fachada y medianera)</t>
  </si>
  <si>
    <t>Precio del proyecto</t>
  </si>
  <si>
    <t>Suplemento de aislamiento para U = 0,20</t>
  </si>
  <si>
    <t>Acabado exterior sobre panel (fachadas y vuelos)</t>
  </si>
  <si>
    <t>ESTIMADO</t>
  </si>
  <si>
    <t>Panel 8+65+8 de cubierta (planta primera + terraza)</t>
  </si>
  <si>
    <t>Sistema de cubierta no transitable sobre panel</t>
  </si>
  <si>
    <t>Sistema de cubierta transitable en terraza</t>
  </si>
  <si>
    <t>Panel 8+120+8 en suelo de planta baja</t>
  </si>
  <si>
    <t>Sustituye a la solera Cáviti</t>
  </si>
  <si>
    <t>Panel 8+65+8 en suelo de planta primera</t>
  </si>
  <si>
    <t>Sustituye al forjado unidireccional</t>
  </si>
  <si>
    <t>Sellado y tapajuntas entre módulos</t>
  </si>
  <si>
    <t>m</t>
  </si>
  <si>
    <t>Juntas verticales y perímetro entre plantas</t>
  </si>
  <si>
    <t>Colectores suspendidos bajo planta baja</t>
  </si>
  <si>
    <t>ud</t>
  </si>
  <si>
    <t>Como el proyecto</t>
  </si>
  <si>
    <t>TOTAL SISTEMA MODULAR</t>
  </si>
  <si>
    <t>PARTIDAS QUE SE EJECUTAN IGUAL (mediciones y precios del proyecto, por vivienda)</t>
  </si>
  <si>
    <t>Instalaciones, carpinterías, acabados, sanitarios y pruebas. Importe del proyecto / 16 viviendas.</t>
  </si>
  <si>
    <t>Capítulo</t>
  </si>
  <si>
    <t>Descripción</t>
  </si>
  <si>
    <t>PEM por vivienda</t>
  </si>
  <si>
    <t>C.03</t>
  </si>
  <si>
    <t>Saneamiento interior (bajantes)</t>
  </si>
  <si>
    <t>C.07</t>
  </si>
  <si>
    <t>Impermeabilización de zonas húmedas y aislamiento acústico</t>
  </si>
  <si>
    <t>C.08</t>
  </si>
  <si>
    <t>Tabiquería, falsos techos y mampara</t>
  </si>
  <si>
    <t>C.09</t>
  </si>
  <si>
    <t>Alicatados, solados, peldaños, vierteaguas y albardillas</t>
  </si>
  <si>
    <t>C.10</t>
  </si>
  <si>
    <t>Carpintería interior y armarios</t>
  </si>
  <si>
    <t>C.11</t>
  </si>
  <si>
    <t>Carpintería exterior, recercados y barandillas</t>
  </si>
  <si>
    <t>C.12</t>
  </si>
  <si>
    <t>Pintura</t>
  </si>
  <si>
    <t>C.13</t>
  </si>
  <si>
    <t>Electricidad y telecomunicaciones</t>
  </si>
  <si>
    <t>C.14</t>
  </si>
  <si>
    <t>Fontanería y aparatos sanitarios</t>
  </si>
  <si>
    <t>C.15</t>
  </si>
  <si>
    <t>Climatización, ACS y ventilación</t>
  </si>
  <si>
    <t>C.19</t>
  </si>
  <si>
    <t>Pruebas de servicio y de estanqueidad</t>
  </si>
  <si>
    <t>MEMORIA DE CALIDADES DEL PROYECTO FRENTE A ALTERNATIVAS DE AHORRO (por vivienda pareada)</t>
  </si>
  <si>
    <t>S = sistema modular o duplicidad (no cambia calidades) · M = marca o gama equivalente («o similar») · A = alcance de la memoria comercial. Ahorros estimados: confirmar con ofertas.</t>
  </si>
  <si>
    <t>Proyecto</t>
  </si>
  <si>
    <t>€/viv. proyecto</t>
  </si>
  <si>
    <t>Alternativa</t>
  </si>
  <si>
    <t>Ahorro €/viv.</t>
  </si>
  <si>
    <t>Tipo</t>
  </si>
  <si>
    <t>Climatización</t>
  </si>
  <si>
    <t>Aerotermia</t>
  </si>
  <si>
    <t>Vaillant aroTHERM plus uniTOWER biblock, 10,1 kW, A+++</t>
  </si>
  <si>
    <t>Panasonic Aquarea All in One o LG Therma V con depósito de 200 l, dimensionada a 8 kW (vivienda A+ de 125 m² útiles)</t>
  </si>
  <si>
    <t>M</t>
  </si>
  <si>
    <t>Bomba circuladora</t>
  </si>
  <si>
    <t>Ebara Ego Easy 25/80 aparte</t>
  </si>
  <si>
    <t>La integrada en el módulo hidráulico de la aerotermia (un solo circuito con colectores)</t>
  </si>
  <si>
    <t>S</t>
  </si>
  <si>
    <t>Suelo radiante</t>
  </si>
  <si>
    <t>Polytherm Premium, panel termoconformado (35,86 €/m²)</t>
  </si>
  <si>
    <t>Sistema estándar de panel liso (Uponor, Orkli o Giacomini) a unos 30 €/m²</t>
  </si>
  <si>
    <t>Tabiquería</t>
  </si>
  <si>
    <t>Tabiques interiores</t>
  </si>
  <si>
    <t>Knauf W112, doble placa por cara (29,94 €/m²)</t>
  </si>
  <si>
    <t>Placa sencilla de 15 mm por cara (W111) entre estancias de la misma vivienda; W112 solo en baños y escalera</t>
  </si>
  <si>
    <t>A</t>
  </si>
  <si>
    <t>Techos</t>
  </si>
  <si>
    <t>Falso techo de cuartos secos y húmedos</t>
  </si>
  <si>
    <t>Knauf D47 suspendido con maestras (27,74 y 31,01 €/m²)</t>
  </si>
  <si>
    <t>Placa atornillada directamente a las correas del techo del módulo, sin estructura suspendida</t>
  </si>
  <si>
    <t>Falso techo exterior de placa de cemento</t>
  </si>
  <si>
    <t>Aquapanel Outdoor bajo vuelos (101,73 €/m²)</t>
  </si>
  <si>
    <t>Ya incluido: el vuelo del módulo lleva panel con acabado exterior</t>
  </si>
  <si>
    <t>Fachada</t>
  </si>
  <si>
    <t>Aplacado de gres en fachada</t>
  </si>
  <si>
    <t>Porcelánico en capa fina sobre mortero (48,34 €/m², 31 m²)</t>
  </si>
  <si>
    <t>Se mantiene el aplacado y se descuenta esa superficie del acabado exterior del panel (no duplicar)</t>
  </si>
  <si>
    <t>Electricidad</t>
  </si>
  <si>
    <t>Red de toma de tierra de estructura</t>
  </si>
  <si>
    <t>Cable de 35 mm² soldado a la armadura de cada zapata (40,65 m)</t>
  </si>
  <si>
    <t>Conexión equipotencial de los marcos de acero al anillo de cimentación del promotor</t>
  </si>
  <si>
    <t>Punto de recarga de vehículo</t>
  </si>
  <si>
    <t>Caja de recarga 2,3 kW instalada</t>
  </si>
  <si>
    <t>Preinstalación (canalización y línea), que es lo que promete la memoria comercial</t>
  </si>
  <si>
    <t>Cuadro general</t>
  </si>
  <si>
    <t>Electrificación elevada, 24 elementos, 12 circuitos</t>
  </si>
  <si>
    <t>Mismo esquema montado en fábrica con aparamenta de gama media (Hager, Schneider Resi9)</t>
  </si>
  <si>
    <t>Videoportero</t>
  </si>
  <si>
    <t>Digital 3 hilos + coaxial, monitor b/n 4"</t>
  </si>
  <si>
    <t>Kit de 2 hilos en color (Fermax o Golmar)</t>
  </si>
  <si>
    <t>Pavimentos</t>
  </si>
  <si>
    <t>Tarima laminada</t>
  </si>
  <si>
    <t>Terhürne Comfloor Akustec AC5/32, 8,5 mm (36,32 €/m²)</t>
  </si>
  <si>
    <t>Laminado AC5 de 8 mm de fabricante nacional (Finsa, Faus) a unos 28 €/m²</t>
  </si>
  <si>
    <t>Gres porcelánico interior, alicatado y peldaños</t>
  </si>
  <si>
    <t>Porcelánico de 20 €/m² de material</t>
  </si>
  <si>
    <t>Compra directa a fábrica de Castellón por volumen de 16 viviendas (unos 13 €/m² de material)</t>
  </si>
  <si>
    <t>Pintura plástica</t>
  </si>
  <si>
    <t>Sikkens Alphalux SF (8,11 y 10,45 €/m²)</t>
  </si>
  <si>
    <t>Plástica mate lavable profesional (Titan, Jotun o Bruguer)</t>
  </si>
  <si>
    <t>Carpintería exterior</t>
  </si>
  <si>
    <t>Ventanas y puertas balconeras</t>
  </si>
  <si>
    <t>PVC Kömmerling Eurofutur 70, foliado RAL 7016, persiana</t>
  </si>
  <si>
    <t>Perfil equivalente de 70 mm (Veka Softline o Rehau Euro-Design) con el mismo foliado y vidrio</t>
  </si>
  <si>
    <t>Recercado de huecos</t>
  </si>
  <si>
    <t>Chapa de aluminio lacado, desarrollo 400 mm (29,03 €/m)</t>
  </si>
  <si>
    <t>Pliegues de chapa galvanizada lacada fabricados en el propio taller</t>
  </si>
  <si>
    <t>Barandilla de terraza</t>
  </si>
  <si>
    <t>Comenza GlassFit SV-1401 Top (197,86 €/m)</t>
  </si>
  <si>
    <t>Vidrio laminar con perfil de base genérico, misma imagen</t>
  </si>
  <si>
    <t>Ahorro por sistema modular y duplicidades (S)</t>
  </si>
  <si>
    <t>Ahorro por marca o gama equivalente (M)</t>
  </si>
  <si>
    <t>Ahorro por alcance (A)</t>
  </si>
  <si>
    <t>AHORRO TOTAL DE COSTE POR VIVIENDA</t>
  </si>
  <si>
    <t>Bajada de precio con margen</t>
  </si>
  <si>
    <t>Precio del piloto (serie) con los ahorros</t>
  </si>
  <si>
    <t>ESCENARIOS DE MARGEN Y PARTIDAS QUE FALTAN EN EL COSTE</t>
  </si>
  <si>
    <t>Celdas rosadas con cifra en rojo minio = editables. El coste del modelo ya incluye la mano de obra de fábrica y de montaje a coste empresa (nómina + Seguridad Social, 23 €/h de 2024).</t>
  </si>
  <si>
    <t>Supuesto</t>
  </si>
  <si>
    <t>Operarios de fábrica al arrancar</t>
  </si>
  <si>
    <t>Iván, 13/10/2026</t>
  </si>
  <si>
    <t>Horas productivas por operario y mes</t>
  </si>
  <si>
    <t>1.760 h/año / 12</t>
  </si>
  <si>
    <t>Nómina + Seguridad Social con 9 operarios (€/mes, 2024)</t>
  </si>
  <si>
    <t>Subida salarial 2024→2026 (convenio del metal y SMI)</t>
  </si>
  <si>
    <t>ESTIMADO: confirmar con el convenio aplicable</t>
  </si>
  <si>
    <t>Estructura de RG21: dirección, comercial y administración, con SS (€/mes)</t>
  </si>
  <si>
    <t>Garantía y posventa (% del coste)</t>
  </si>
  <si>
    <t>Habitual 0,5–1,5 %</t>
  </si>
  <si>
    <t>Imprevistos (% del coste)</t>
  </si>
  <si>
    <t>Primera serie: 3–5 %</t>
  </si>
  <si>
    <t>Coste de la pareada en serie (modelo, a 2 viviendas/mes)</t>
  </si>
  <si>
    <t>Presupuesto técnico a 90 kg/m²: 209.100 € / 1,10</t>
  </si>
  <si>
    <t>Coste de la aislada en serie (modelo, a 2 viviendas/mes)</t>
  </si>
  <si>
    <t>214.100 € / 1,10</t>
  </si>
  <si>
    <t>Precio ofertado del piloto (dentro de la serie)</t>
  </si>
  <si>
    <t>Propuesta integral, 14/10/2026: 10 % sobre el coste del modelo</t>
  </si>
  <si>
    <t>Precio ofertado del piloto aislado</t>
  </si>
  <si>
    <t>Propuesta integral, 14/10/2026</t>
  </si>
  <si>
    <t>Precio ofertado de la pareada en serie</t>
  </si>
  <si>
    <t>Precio ofertado de la aislada en serie</t>
  </si>
  <si>
    <t>Horas de fábrica por vivienda (acero y panel)</t>
  </si>
  <si>
    <t>Sale del modelo</t>
  </si>
  <si>
    <t>Viviendas al mes con esa plantilla</t>
  </si>
  <si>
    <t>El modelo supone 2 al mes</t>
  </si>
  <si>
    <t>Meses de fábrica para las 16 viviendas</t>
  </si>
  <si>
    <t>Nómina + SS de la plantilla de arranque (€/mes, 2024)</t>
  </si>
  <si>
    <t>Proporcional a 9 operarios</t>
  </si>
  <si>
    <t>PARTIDAS QUE FALTAN O ESTÁN A PRECIO DE 2024 (por vivienda)</t>
  </si>
  <si>
    <t>Piloto en serie</t>
  </si>
  <si>
    <t>Pareada en serie</t>
  </si>
  <si>
    <t>Aislada en serie</t>
  </si>
  <si>
    <t>Comentario</t>
  </si>
  <si>
    <t>Mano de obra de fábrica y montaje a salarios de 2026</t>
  </si>
  <si>
    <t>Los 23 €/h son de 2024 y no llevan IPC</t>
  </si>
  <si>
    <t>Gastos fijos de fábrica a precios de 2026</t>
  </si>
  <si>
    <t>Los 20.430 €/mes son de 2024</t>
  </si>
  <si>
    <t>Gastos fijos repartidos al ritmo real de la plantilla</t>
  </si>
  <si>
    <t>El modelo los reparte entre 2 viviendas al mes</t>
  </si>
  <si>
    <t>Plantilla parada en el piloto aislado</t>
  </si>
  <si>
    <t>Sin serie, la nómina se paga entera aunque haya pocas horas que cargar</t>
  </si>
  <si>
    <t>Estructura de RG21 (dirección, comercial, administración, con SS)</t>
  </si>
  <si>
    <t>No está en el modelo</t>
  </si>
  <si>
    <t>Garantía y posventa</t>
  </si>
  <si>
    <t>Imprevistos</t>
  </si>
  <si>
    <t>Total de lo que falta</t>
  </si>
  <si>
    <t>Coste del modelo</t>
  </si>
  <si>
    <t>COSTE COMPLETO</t>
  </si>
  <si>
    <t>Precio ofertado a NIDO</t>
  </si>
  <si>
    <t>Margen según el modelo (% sobre venta)</t>
  </si>
  <si>
    <t>MARGEN REAL con el precio ofertado (€)</t>
  </si>
  <si>
    <t>MARGEN REAL (% sobre venta)</t>
  </si>
  <si>
    <t>ESCENARIOS: PRECIO SEGÚN EL MARGEN SOBRE EL COSTE COMPLETO</t>
  </si>
  <si>
    <t>Margen sobre coste (y sobre venta)</t>
  </si>
  <si>
    <t>16 viviendas (14 + 2)</t>
  </si>
  <si>
    <t>Margen de las 16</t>
  </si>
  <si>
    <t>Frente a la oferta de las 16 (3.355.600 €)</t>
  </si>
  <si>
    <t>0 % (precio mínimo: solo coste)</t>
  </si>
  <si>
    <t>5 % (4,8 % sobre venta)</t>
  </si>
  <si>
    <t>8 % (7,4 % sobre venta)</t>
  </si>
  <si>
    <t>10 % (9,1 % sobre venta)</t>
  </si>
  <si>
    <t>12 % (10,7 % sobre venta)</t>
  </si>
  <si>
    <t>15 % (13,0 % sobre venta)</t>
  </si>
  <si>
    <t>22 % (18,0 % sobre venta)</t>
  </si>
  <si>
    <t>25 % (20,0 % sobre venta)</t>
  </si>
  <si>
    <t>PAREADA EN SERIE SEGÚN LA PLANTILLA DE FÁBRICA (resto de supuestos como arriba)</t>
  </si>
  <si>
    <t>Operarios</t>
  </si>
  <si>
    <t>Viviendas/mes</t>
  </si>
  <si>
    <t>Meses para las 16</t>
  </si>
  <si>
    <t>Coste completo</t>
  </si>
  <si>
    <t>Margen al precio ofertado</t>
  </si>
  <si>
    <t>Precio para un 18 % sobre venta</t>
  </si>
  <si>
    <t>1. La mano de obra de fábrica y de montaje entra a coste empresa, con Seguridad Social: 23 €/h, de las nóminas de DWHAI. Es de 2024 y no lleva actualización.</t>
  </si>
  <si>
    <t>2. Instalaciones, carpinterías y acabados van a precio del proyecto, que ya incluye su mano de obra y sus cargas sociales.</t>
  </si>
  <si>
    <t>3. El ritmo lo marca la plantilla: cada vivienda lleva unas 1.080 h de fábrica de acero y panel. Con 6 operarios sale menos de una vivienda al mes, y la nave, la oficina técnica y la estructura se reparten entre muy pocas casas.</t>
  </si>
  <si>
    <t>4. Las horas son solo de acero y panel. Si la misma plantilla hace también pladur o instalaciones, el ritmo baja todavía más (esas horas las paga el precio de la partida).</t>
  </si>
  <si>
    <t>5. Acero a 2,60 €/kg fabricado: en 2024 la estructura soldada real salió entre 3 y 4,9 €/kg. Cada 0,40 €/kg más son unos 5.300 € por vivienda.</t>
  </si>
  <si>
    <t>6. Si los 8.000 €/mes de estructura incluyen la gestión (3.830) o la oficina técnica (6.100) de los gastos fijos de fábrica, hay que quitarlas de la hoja Supuestos para no contarlas dos veces.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</si>
</sst>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 €;-#,##0 €;-"/>
    <numFmt numFmtId="165" formatCode="0.0%;-0.0%;-"/>
    <numFmt numFmtId="166" formatCode="#,##0.00 €;-#,##0.00 €;-"/>
    <numFmt numFmtId="167" formatCode="#,##0.00;-#,##0.00;-"/>
    <numFmt numFmtId="168" formatCode="0.0"/>
  </numFmts>
  <fonts count="7" x14ac:knownFonts="1">
    <font>
      <color theme="1"/>
      <family val="2"/>
      <scheme val="minor"/>
      <sz val="11"/>
      <name val="Calibri"/>
    </font>
    <font>
      <b/>
      <color rgb="FF141414"/>
      <sz val="15"/>
      <name val="Arial"/>
    </font>
    <font>
      <color rgb="FF5E6064"/>
      <sz val="9.5"/>
      <name val="Arial"/>
    </font>
    <font>
      <b/>
      <color rgb="FFE7E8E3"/>
      <sz val="10"/>
      <name val="Arial"/>
    </font>
    <font>
      <sz val="10"/>
      <name val="Arial"/>
    </font>
    <font>
      <b/>
      <sz val="10"/>
      <name val="Arial"/>
    </font>
    <font>
      <b/>
      <color rgb="FF9C2E18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41414"/>
      </patternFill>
    </fill>
    <fill>
      <patternFill patternType="solid">
        <fgColor rgb="FFE7E8E3"/>
      </patternFill>
    </fill>
    <fill>
      <patternFill patternType="solid">
        <fgColor rgb="FFF6DDD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C8381F"/>
      </bottom>
      <diagonal/>
    </border>
    <border>
      <left/>
      <right/>
      <top style="medium">
        <color rgb="FF14141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0" xfId="0" applyFont="1"/>
    <xf numFmtId="164" fontId="4" fillId="0" borderId="0" xfId="0" applyNumberFormat="1" applyFont="1"/>
    <xf numFmtId="0" fontId="5" fillId="3" borderId="2" xfId="0" applyFont="1" applyFill="1" applyBorder="1"/>
    <xf numFmtId="164" fontId="5" fillId="3" borderId="2" xfId="0" applyNumberFormat="1" applyFont="1" applyFill="1" applyBorder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5" fontId="6" fillId="4" borderId="0" xfId="0" applyNumberFormat="1" applyFont="1" applyFill="1"/>
    <xf numFmtId="166" fontId="6" fillId="4" borderId="0" xfId="0" applyNumberFormat="1" applyFont="1" applyFill="1"/>
    <xf numFmtId="167" fontId="6" fillId="4" borderId="0" xfId="0" applyNumberFormat="1" applyFont="1" applyFill="1"/>
    <xf numFmtId="164" fontId="6" fillId="4" borderId="0" xfId="0" applyNumberFormat="1" applyFont="1" applyFill="1"/>
    <xf numFmtId="1" fontId="6" fillId="4" borderId="0" xfId="0" applyNumberFormat="1" applyFont="1" applyFill="1"/>
    <xf numFmtId="167" fontId="6" fillId="0" borderId="0" xfId="0" applyNumberFormat="1" applyFont="1"/>
    <xf numFmtId="167" fontId="4" fillId="0" borderId="0" xfId="0" applyNumberFormat="1" applyFont="1"/>
    <xf numFmtId="0" fontId="5" fillId="0" borderId="0" xfId="0" applyFont="1"/>
    <xf numFmtId="167" fontId="5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/>
    <xf numFmtId="3" fontId="5" fillId="0" borderId="0" xfId="0" applyNumberFormat="1" applyFont="1"/>
    <xf numFmtId="168" fontId="4" fillId="0" borderId="0" xfId="0" applyNumberFormat="1" applyFont="1"/>
    <xf numFmtId="166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5" fontId="4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8381F"/>
    <pageSetUpPr fitToPage="1"/>
  </sheetPr>
  <dimension ref="A1:C27"/>
  <sheetViews>
    <sheetView workbookViewId="0" showGridLines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66" customWidth="1"/>
    <col min="2" max="3" width="18" customWidth="1"/>
  </cols>
  <sheetData>
    <row r="1" ht="24" customHeight="1" spans="1:1" x14ac:dyDescent="0.25">
      <c r="A1" s="1" t="s">
        <v>0</v>
      </c>
    </row>
    <row r="2" spans="1:1" x14ac:dyDescent="0.25">
      <c r="A2" s="2" t="s">
        <v>1</v>
      </c>
    </row>
    <row r="4" ht="30" customHeight="1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 s="5">
        <f>'Sistema modular'!$E$19</f>
      </c>
      <c r="C5" s="5">
        <f>'Sistema modular'!$E$19</f>
      </c>
    </row>
    <row r="6" spans="1:3" x14ac:dyDescent="0.25">
      <c r="A6" s="4" t="s">
        <v>6</v>
      </c>
      <c r="B6" s="5">
        <f>'Partidas iguales'!$C$16*(1-Supuestos!$B$20)</f>
      </c>
      <c r="C6" s="5">
        <f>'Partidas iguales'!$C$16*(1-Supuestos!$B$20)</f>
      </c>
    </row>
    <row r="7" spans="1:3" x14ac:dyDescent="0.25">
      <c r="A7" s="4" t="s">
        <v>7</v>
      </c>
      <c r="B7" s="5">
        <f>(Acero!$E$42*(Supuestos!$B$6-0.90-0.24)+479.59*Supuestos!$B$8*Supuestos!$B$7)*Supuestos!$B$21</f>
      </c>
      <c r="C7" s="5">
        <f>(Acero!$E$42*(Supuestos!$B$6-0.90-0.24)+479.59*Supuestos!$B$8*Supuestos!$B$7)*Supuestos!$B$21</f>
      </c>
    </row>
    <row r="8" spans="1:3" x14ac:dyDescent="0.25">
      <c r="A8" s="4" t="s">
        <v>8</v>
      </c>
      <c r="B8" s="5">
        <f>6*Supuestos!$B$22*(1+Supuestos!$B$5)+Supuestos!$B$23</f>
      </c>
      <c r="C8" s="5">
        <f>6*Supuestos!$B$22*(1+Supuestos!$B$5)+Supuestos!$B$23</f>
      </c>
    </row>
    <row r="9" spans="1:3" x14ac:dyDescent="0.25">
      <c r="A9" s="4" t="s">
        <v>9</v>
      </c>
      <c r="B9" s="5">
        <f>Supuestos!$B$24*(1+Supuestos!$B$5)</f>
      </c>
      <c r="C9" s="5">
        <f>Supuestos!$B$24*(1+Supuestos!$B$5)</f>
      </c>
    </row>
    <row r="10" spans="1:3" x14ac:dyDescent="0.25">
      <c r="A10" s="4" t="s">
        <v>10</v>
      </c>
      <c r="B10" s="5">
        <f>Supuestos!$B$25*Supuestos!$B$7*(1+Supuestos!$B$26)</f>
      </c>
      <c r="C10" s="5">
        <f>Supuestos!$B$25*Supuestos!$B$7*(1+Supuestos!$B$26)</f>
      </c>
    </row>
    <row r="11" spans="1:3" x14ac:dyDescent="0.25">
      <c r="A11" s="4" t="s">
        <v>11</v>
      </c>
      <c r="B11" s="5">
        <f>Supuestos!$B$27/16</f>
      </c>
      <c r="C11" s="5">
        <f>Supuestos!$B$27</f>
      </c>
    </row>
    <row r="12" spans="1:3" x14ac:dyDescent="0.25">
      <c r="A12" s="4" t="s">
        <v>12</v>
      </c>
      <c r="B12" s="5">
        <f>Supuestos!$B$28/Supuestos!$B$29</f>
      </c>
      <c r="C12" s="5">
        <f>Supuestos!$B$28*Supuestos!$B$30</f>
      </c>
    </row>
    <row r="13" spans="1:3" x14ac:dyDescent="0.25">
      <c r="A13" s="6" t="s">
        <v>13</v>
      </c>
      <c r="B13" s="7">
        <f>SUM(B5:B12)</f>
      </c>
      <c r="C13" s="7">
        <f>SUM(C5:C12)</f>
      </c>
    </row>
    <row r="14" spans="1:3" x14ac:dyDescent="0.25">
      <c r="A14" s="4" t="s">
        <v>14</v>
      </c>
      <c r="B14" s="5">
        <f>B13*Supuestos!$B$31</f>
      </c>
      <c r="C14" s="5">
        <f>C13*Supuestos!$B$31</f>
      </c>
    </row>
    <row r="15" spans="1:3" x14ac:dyDescent="0.25">
      <c r="A15" s="6" t="s">
        <v>15</v>
      </c>
      <c r="B15" s="7">
        <f>B13+B14</f>
      </c>
      <c r="C15" s="7">
        <f>C13+C14</f>
      </c>
    </row>
    <row r="16" spans="1:3" x14ac:dyDescent="0.25">
      <c r="A16" s="4" t="s">
        <v>16</v>
      </c>
      <c r="B16" s="5">
        <f>B15/148.3</f>
      </c>
      <c r="C16" s="5">
        <f>C15/148.3</f>
      </c>
    </row>
    <row r="17" spans="1:1" x14ac:dyDescent="0.25">
      <c r="A17" s="4" t="s">
        <v>17</v>
      </c>
    </row>
    <row r="18" spans="1:3" x14ac:dyDescent="0.25">
      <c r="A18" s="4" t="s">
        <v>18</v>
      </c>
      <c r="B18" s="5">
        <f>(51496.54+'Partidas iguales'!$C$16)*(1+Supuestos!$B$32)</f>
      </c>
      <c r="C18" s="5">
        <f>(51496.54+'Partidas iguales'!$C$16)*(1+Supuestos!$B$32)</f>
      </c>
    </row>
    <row r="19" spans="1:3" x14ac:dyDescent="0.25">
      <c r="A19" s="4" t="s">
        <v>19</v>
      </c>
      <c r="B19" s="5">
        <f>B15-B18</f>
      </c>
      <c r="C19" s="5">
        <f>C15-C18</f>
      </c>
    </row>
    <row r="20" spans="1:3" x14ac:dyDescent="0.25">
      <c r="A20" s="4" t="s">
        <v>20</v>
      </c>
      <c r="B20" s="5">
        <f>225400</f>
      </c>
      <c r="C20" s="5">
        <f>273600</f>
      </c>
    </row>
    <row r="23" spans="1:3" x14ac:dyDescent="0.25">
      <c r="A23" s="8" t="s">
        <v>21</v>
      </c>
      <c r="B23" s="8"/>
      <c r="C23" s="8"/>
    </row>
    <row r="24" ht="30" customHeight="1" spans="1:3" x14ac:dyDescent="0.25">
      <c r="A24" s="9" t="s">
        <v>22</v>
      </c>
      <c r="B24" s="9"/>
      <c r="C24" s="9"/>
    </row>
    <row r="25" ht="30" customHeight="1" spans="1:3" x14ac:dyDescent="0.25">
      <c r="A25" s="9" t="s">
        <v>23</v>
      </c>
      <c r="B25" s="9"/>
      <c r="C25" s="9"/>
    </row>
    <row r="26" ht="30" customHeight="1" spans="1:3" x14ac:dyDescent="0.25">
      <c r="A26" s="9" t="s">
        <v>24</v>
      </c>
      <c r="B26" s="9"/>
      <c r="C26" s="9"/>
    </row>
    <row r="27" ht="30" customHeight="1" spans="1:3" x14ac:dyDescent="0.25">
      <c r="A27" s="9" t="s">
        <v>25</v>
      </c>
      <c r="B27" s="9"/>
      <c r="C27" s="9"/>
    </row>
  </sheetData>
  <mergeCells count="5">
    <mergeCell ref="A23:C23"/>
    <mergeCell ref="A24:C24"/>
    <mergeCell ref="A25:C25"/>
    <mergeCell ref="A26:C26"/>
    <mergeCell ref="A27:C27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Header>&amp;L&amp;"Arial,Bold"&amp;12rg21&amp;"Arial,Regular"&amp;8  CAPITAL&amp;R&amp;"Arial,Regular"&amp;8NÉVOLA · PILOTO MODULAR</oddHeader>
    <oddFooter>&amp;L&amp;"Arial,Regular"&amp;8USO INTERNO · NO ENVIAR AL PROMOTOR&amp;R&amp;"Arial,Regular"&amp;8Página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1414"/>
    <pageSetUpPr fitToPage="1"/>
  </sheetPr>
  <dimension ref="A1:C32"/>
  <sheetViews>
    <sheetView workbookViewId="0" showGridLines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14" customWidth="1"/>
    <col min="3" max="3" width="82" customWidth="1"/>
  </cols>
  <sheetData>
    <row r="1" ht="24" customHeight="1" spans="1:1" x14ac:dyDescent="0.25">
      <c r="A1" s="1" t="s">
        <v>26</v>
      </c>
    </row>
    <row r="2" spans="1:1" x14ac:dyDescent="0.25">
      <c r="A2" s="2" t="s">
        <v>27</v>
      </c>
    </row>
    <row r="4" ht="30" customHeight="1" spans="1:3" x14ac:dyDescent="0.25">
      <c r="A4" s="3" t="s">
        <v>2</v>
      </c>
      <c r="B4" s="3" t="s">
        <v>28</v>
      </c>
      <c r="C4" s="3" t="s">
        <v>29</v>
      </c>
    </row>
    <row r="5" spans="1:3" x14ac:dyDescent="0.25">
      <c r="A5" s="4" t="s">
        <v>30</v>
      </c>
      <c r="B5" s="10">
        <v>0.12</v>
      </c>
      <c r="C5" s="4" t="s">
        <v>31</v>
      </c>
    </row>
    <row r="6" spans="1:3" x14ac:dyDescent="0.25">
      <c r="A6" s="4" t="s">
        <v>32</v>
      </c>
      <c r="B6" s="11">
        <v>2.6</v>
      </c>
      <c r="C6" s="4" t="s">
        <v>33</v>
      </c>
    </row>
    <row r="7" spans="1:3" x14ac:dyDescent="0.25">
      <c r="A7" s="4" t="s">
        <v>34</v>
      </c>
      <c r="B7" s="11">
        <v>23</v>
      </c>
      <c r="C7" s="4" t="s">
        <v>35</v>
      </c>
    </row>
    <row r="8" spans="1:3" x14ac:dyDescent="0.25">
      <c r="A8" s="4" t="s">
        <v>36</v>
      </c>
      <c r="B8" s="12">
        <v>0.5</v>
      </c>
      <c r="C8" s="4" t="s">
        <v>37</v>
      </c>
    </row>
    <row r="9" spans="1:3" x14ac:dyDescent="0.25">
      <c r="A9" s="4" t="s">
        <v>38</v>
      </c>
      <c r="B9" s="10">
        <v>0.05</v>
      </c>
      <c r="C9" s="4" t="s">
        <v>17</v>
      </c>
    </row>
    <row r="10" spans="1:3" x14ac:dyDescent="0.25">
      <c r="A10" s="4" t="s">
        <v>39</v>
      </c>
      <c r="B10" s="11">
        <v>42</v>
      </c>
      <c r="C10" s="4" t="s">
        <v>40</v>
      </c>
    </row>
    <row r="11" spans="1:3" x14ac:dyDescent="0.25">
      <c r="A11" s="4" t="s">
        <v>41</v>
      </c>
      <c r="B11" s="11">
        <v>52</v>
      </c>
      <c r="C11" s="4" t="s">
        <v>40</v>
      </c>
    </row>
    <row r="12" spans="1:3" x14ac:dyDescent="0.25">
      <c r="A12" s="4" t="s">
        <v>42</v>
      </c>
      <c r="B12" s="11">
        <v>64</v>
      </c>
      <c r="C12" s="4" t="s">
        <v>40</v>
      </c>
    </row>
    <row r="13" spans="1:3" x14ac:dyDescent="0.25">
      <c r="A13" s="4" t="s">
        <v>43</v>
      </c>
      <c r="B13" s="11">
        <v>31.85</v>
      </c>
      <c r="C13" s="4" t="s">
        <v>44</v>
      </c>
    </row>
    <row r="14" spans="1:3" x14ac:dyDescent="0.25">
      <c r="A14" s="4" t="s">
        <v>45</v>
      </c>
      <c r="B14" s="11">
        <v>10</v>
      </c>
      <c r="C14" s="4" t="s">
        <v>46</v>
      </c>
    </row>
    <row r="15" spans="1:3" x14ac:dyDescent="0.25">
      <c r="A15" s="4" t="s">
        <v>47</v>
      </c>
      <c r="B15" s="11">
        <v>45</v>
      </c>
      <c r="C15" s="4" t="s">
        <v>48</v>
      </c>
    </row>
    <row r="16" spans="1:3" x14ac:dyDescent="0.25">
      <c r="A16" s="4" t="s">
        <v>49</v>
      </c>
      <c r="B16" s="11">
        <v>88.8</v>
      </c>
      <c r="C16" s="4" t="s">
        <v>50</v>
      </c>
    </row>
    <row r="17" spans="1:3" x14ac:dyDescent="0.25">
      <c r="A17" s="4" t="s">
        <v>51</v>
      </c>
      <c r="B17" s="11">
        <v>97.54</v>
      </c>
      <c r="C17" s="4" t="s">
        <v>52</v>
      </c>
    </row>
    <row r="18" spans="1:3" x14ac:dyDescent="0.25">
      <c r="A18" s="4" t="s">
        <v>53</v>
      </c>
      <c r="B18" s="11">
        <v>25</v>
      </c>
      <c r="C18" s="4" t="s">
        <v>37</v>
      </c>
    </row>
    <row r="19" spans="1:3" x14ac:dyDescent="0.25">
      <c r="A19" s="4" t="s">
        <v>54</v>
      </c>
      <c r="B19" s="11">
        <v>941.45</v>
      </c>
      <c r="C19" s="4" t="s">
        <v>55</v>
      </c>
    </row>
    <row r="20" spans="1:3" x14ac:dyDescent="0.25">
      <c r="A20" s="4" t="s">
        <v>56</v>
      </c>
      <c r="B20" s="10">
        <v>0</v>
      </c>
      <c r="C20" s="4" t="s">
        <v>57</v>
      </c>
    </row>
    <row r="21" spans="1:3" x14ac:dyDescent="0.25">
      <c r="A21" s="4" t="s">
        <v>58</v>
      </c>
      <c r="B21" s="10">
        <v>0.15</v>
      </c>
      <c r="C21" s="4" t="s">
        <v>59</v>
      </c>
    </row>
    <row r="22" spans="1:3" x14ac:dyDescent="0.25">
      <c r="A22" s="4" t="s">
        <v>60</v>
      </c>
      <c r="B22" s="13">
        <v>900</v>
      </c>
      <c r="C22" s="4" t="s">
        <v>61</v>
      </c>
    </row>
    <row r="23" spans="1:3" x14ac:dyDescent="0.25">
      <c r="A23" s="4" t="s">
        <v>62</v>
      </c>
      <c r="B23" s="13">
        <v>600</v>
      </c>
      <c r="C23" s="4" t="s">
        <v>63</v>
      </c>
    </row>
    <row r="24" spans="1:3" x14ac:dyDescent="0.25">
      <c r="A24" s="4" t="s">
        <v>64</v>
      </c>
      <c r="B24" s="13">
        <v>3120</v>
      </c>
      <c r="C24" s="4" t="s">
        <v>65</v>
      </c>
    </row>
    <row r="25" spans="1:3" x14ac:dyDescent="0.25">
      <c r="A25" s="4" t="s">
        <v>66</v>
      </c>
      <c r="B25" s="14">
        <v>192</v>
      </c>
      <c r="C25" s="4" t="s">
        <v>67</v>
      </c>
    </row>
    <row r="26" spans="1:3" x14ac:dyDescent="0.25">
      <c r="A26" s="4" t="s">
        <v>68</v>
      </c>
      <c r="B26" s="10">
        <v>0.15</v>
      </c>
      <c r="C26" s="4" t="s">
        <v>17</v>
      </c>
    </row>
    <row r="27" spans="1:3" x14ac:dyDescent="0.25">
      <c r="A27" s="4" t="s">
        <v>69</v>
      </c>
      <c r="B27" s="13">
        <v>25000</v>
      </c>
      <c r="C27" s="4" t="s">
        <v>70</v>
      </c>
    </row>
    <row r="28" spans="1:3" x14ac:dyDescent="0.25">
      <c r="A28" s="4" t="s">
        <v>71</v>
      </c>
      <c r="B28" s="13">
        <v>20430</v>
      </c>
      <c r="C28" s="4" t="s">
        <v>72</v>
      </c>
    </row>
    <row r="29" spans="1:3" x14ac:dyDescent="0.25">
      <c r="A29" s="4" t="s">
        <v>73</v>
      </c>
      <c r="B29" s="12">
        <v>2</v>
      </c>
      <c r="C29" s="4" t="s">
        <v>17</v>
      </c>
    </row>
    <row r="30" spans="1:3" x14ac:dyDescent="0.25">
      <c r="A30" s="4" t="s">
        <v>74</v>
      </c>
      <c r="B30" s="12">
        <v>1.5</v>
      </c>
      <c r="C30" s="4" t="s">
        <v>75</v>
      </c>
    </row>
    <row r="31" spans="1:3" x14ac:dyDescent="0.25">
      <c r="A31" s="4" t="s">
        <v>76</v>
      </c>
      <c r="B31" s="10">
        <v>0.1</v>
      </c>
      <c r="C31" s="4" t="s">
        <v>17</v>
      </c>
    </row>
    <row r="32" spans="1:3" x14ac:dyDescent="0.25">
      <c r="A32" s="4" t="s">
        <v>77</v>
      </c>
      <c r="B32" s="10">
        <v>0.19</v>
      </c>
      <c r="C32" s="4" t="s">
        <v>17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Header>&amp;L&amp;"Arial,Bold"&amp;12rg21&amp;"Arial,Regular"&amp;8  CAPITAL&amp;R&amp;"Arial,Regular"&amp;8NÉVOLA · PILOTO MODULAR</oddHeader>
    <oddFooter>&amp;L&amp;"Arial,Regular"&amp;8USO INTERNO · NO ENVIAR AL PROMOTOR&amp;R&amp;"Arial,Regular"&amp;8Página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1414"/>
    <pageSetUpPr fitToPage="1"/>
  </sheetPr>
  <dimension ref="A1:G14"/>
  <sheetViews>
    <sheetView workbookViewId="0" showGridLines="0">
      <pane topLeftCell="A1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6" width="12" customWidth="1"/>
    <col min="7" max="7" width="58" customWidth="1"/>
  </cols>
  <sheetData>
    <row r="1" ht="24" customHeight="1" spans="1:1" x14ac:dyDescent="0.25">
      <c r="A1" s="1" t="s">
        <v>78</v>
      </c>
    </row>
    <row r="2" spans="1:1" x14ac:dyDescent="0.25">
      <c r="A2" s="2" t="s">
        <v>79</v>
      </c>
    </row>
    <row r="4" ht="30" customHeight="1" spans="1:7" x14ac:dyDescent="0.25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</row>
    <row r="5" spans="1:7" x14ac:dyDescent="0.25">
      <c r="A5" s="4" t="s">
        <v>87</v>
      </c>
      <c r="B5" s="4" t="s">
        <v>88</v>
      </c>
      <c r="C5" s="15">
        <v>3.2</v>
      </c>
      <c r="D5" s="15">
        <v>9.5</v>
      </c>
      <c r="E5" s="15">
        <v>3.05</v>
      </c>
      <c r="F5" s="16">
        <f>C5*D5</f>
      </c>
      <c r="G5" s="4" t="s">
        <v>89</v>
      </c>
    </row>
    <row r="6" spans="1:7" x14ac:dyDescent="0.25">
      <c r="A6" s="4" t="s">
        <v>90</v>
      </c>
      <c r="B6" s="4" t="s">
        <v>88</v>
      </c>
      <c r="C6" s="15">
        <v>2.3</v>
      </c>
      <c r="D6" s="15">
        <v>9.5</v>
      </c>
      <c r="E6" s="15">
        <v>3.05</v>
      </c>
      <c r="F6" s="16">
        <f>C6*D6</f>
      </c>
      <c r="G6" s="4" t="s">
        <v>91</v>
      </c>
    </row>
    <row r="7" spans="1:7" x14ac:dyDescent="0.25">
      <c r="A7" s="4" t="s">
        <v>92</v>
      </c>
      <c r="B7" s="4" t="s">
        <v>88</v>
      </c>
      <c r="C7" s="15">
        <v>2.35</v>
      </c>
      <c r="D7" s="15">
        <v>9.5</v>
      </c>
      <c r="E7" s="15">
        <v>3.05</v>
      </c>
      <c r="F7" s="16">
        <f>C7*D7</f>
      </c>
      <c r="G7" s="4" t="s">
        <v>93</v>
      </c>
    </row>
    <row r="8" spans="1:7" x14ac:dyDescent="0.25">
      <c r="A8" s="4" t="s">
        <v>94</v>
      </c>
      <c r="B8" s="4" t="s">
        <v>95</v>
      </c>
      <c r="C8" s="15">
        <v>3.2</v>
      </c>
      <c r="D8" s="15">
        <v>8.47</v>
      </c>
      <c r="E8" s="15">
        <v>3.05</v>
      </c>
      <c r="F8" s="16">
        <f>C8*D8</f>
      </c>
      <c r="G8" s="4" t="s">
        <v>96</v>
      </c>
    </row>
    <row r="9" spans="1:7" x14ac:dyDescent="0.25">
      <c r="A9" s="4" t="s">
        <v>97</v>
      </c>
      <c r="B9" s="4" t="s">
        <v>95</v>
      </c>
      <c r="C9" s="15">
        <v>2.3</v>
      </c>
      <c r="D9" s="15">
        <v>8.47</v>
      </c>
      <c r="E9" s="15">
        <v>3.05</v>
      </c>
      <c r="F9" s="16">
        <f>C9*D9</f>
      </c>
      <c r="G9" s="4" t="s">
        <v>98</v>
      </c>
    </row>
    <row r="10" spans="1:7" x14ac:dyDescent="0.25">
      <c r="A10" s="4" t="s">
        <v>99</v>
      </c>
      <c r="B10" s="4" t="s">
        <v>95</v>
      </c>
      <c r="C10" s="15">
        <v>2.35</v>
      </c>
      <c r="D10" s="15">
        <v>10.1</v>
      </c>
      <c r="E10" s="15">
        <v>3.05</v>
      </c>
      <c r="F10" s="16">
        <f>C10*D10</f>
      </c>
      <c r="G10" s="4" t="s">
        <v>100</v>
      </c>
    </row>
    <row r="11" spans="1:7" x14ac:dyDescent="0.25">
      <c r="A11" s="4" t="s">
        <v>101</v>
      </c>
      <c r="B11" s="4" t="s">
        <v>95</v>
      </c>
      <c r="C11" s="15">
        <v>0.6</v>
      </c>
      <c r="D11" s="15">
        <v>8.47</v>
      </c>
      <c r="E11" s="15">
        <v>0.3</v>
      </c>
      <c r="F11" s="16">
        <f>C11*D11</f>
      </c>
      <c r="G11" s="4" t="s">
        <v>102</v>
      </c>
    </row>
    <row r="12" spans="1:6" x14ac:dyDescent="0.25">
      <c r="A12" s="17" t="s">
        <v>103</v>
      </c>
      <c r="F12" s="18">
        <f>SUM(F5:F11)</f>
      </c>
    </row>
    <row r="14" ht="30" customHeight="1" spans="1:7" x14ac:dyDescent="0.25">
      <c r="A14" s="19" t="s">
        <v>104</v>
      </c>
      <c r="B14" s="19"/>
      <c r="C14" s="19"/>
      <c r="D14" s="19"/>
      <c r="E14" s="19"/>
      <c r="F14" s="19"/>
      <c r="G14" s="19"/>
    </row>
  </sheetData>
  <mergeCells count="1">
    <mergeCell ref="A14:G14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Header>&amp;L&amp;"Arial,Bold"&amp;12rg21&amp;"Arial,Regular"&amp;8  CAPITAL&amp;R&amp;"Arial,Regular"&amp;8NÉVOLA · PILOTO MODULAR</oddHeader>
    <oddFooter>&amp;L&amp;"Arial,Regular"&amp;8USO INTERNO · NO ENVIAR AL PROMOTOR&amp;R&amp;"Arial,Regular"&amp;8Página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1414"/>
    <pageSetUpPr fitToPage="1"/>
  </sheetPr>
  <dimension ref="A1:E44"/>
  <sheetViews>
    <sheetView workbookViewId="0" showGridLines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6" customWidth="1"/>
    <col min="3" max="4" width="12" customWidth="1"/>
    <col min="5" max="5" width="14" customWidth="1"/>
  </cols>
  <sheetData>
    <row r="1" ht="24" customHeight="1" spans="1:1" x14ac:dyDescent="0.25">
      <c r="A1" s="1" t="s">
        <v>105</v>
      </c>
    </row>
    <row r="2" spans="1:1" x14ac:dyDescent="0.25">
      <c r="A2" s="2" t="s">
        <v>106</v>
      </c>
    </row>
    <row r="4" ht="30" customHeight="1" spans="1:5" x14ac:dyDescent="0.25">
      <c r="A4" s="3" t="s">
        <v>80</v>
      </c>
      <c r="B4" s="3" t="s">
        <v>107</v>
      </c>
      <c r="C4" s="3" t="s">
        <v>108</v>
      </c>
      <c r="D4" s="3" t="s">
        <v>109</v>
      </c>
      <c r="E4" s="3" t="s">
        <v>110</v>
      </c>
    </row>
    <row r="5" spans="1:5" x14ac:dyDescent="0.25">
      <c r="A5" s="4" t="s">
        <v>87</v>
      </c>
      <c r="B5" s="4" t="s">
        <v>111</v>
      </c>
      <c r="C5" s="15">
        <v>50.8</v>
      </c>
      <c r="D5" s="16">
        <v>22.96</v>
      </c>
      <c r="E5" s="20">
        <f>C5*D5</f>
      </c>
    </row>
    <row r="6" spans="1:5" x14ac:dyDescent="0.25">
      <c r="A6" s="4" t="s">
        <v>87</v>
      </c>
      <c r="B6" s="4" t="s">
        <v>112</v>
      </c>
      <c r="C6" s="15">
        <v>15.9</v>
      </c>
      <c r="D6" s="16">
        <v>16.2</v>
      </c>
      <c r="E6" s="20">
        <f>C6*D6</f>
      </c>
    </row>
    <row r="7" spans="1:5" x14ac:dyDescent="0.25">
      <c r="A7" s="4" t="s">
        <v>87</v>
      </c>
      <c r="B7" s="4" t="s">
        <v>113</v>
      </c>
      <c r="C7" s="15">
        <v>19.46</v>
      </c>
      <c r="D7" s="16">
        <v>16.7</v>
      </c>
      <c r="E7" s="20">
        <f>C7*D7</f>
      </c>
    </row>
    <row r="8" spans="1:5" x14ac:dyDescent="0.25">
      <c r="A8" s="4" t="s">
        <v>87</v>
      </c>
      <c r="B8" s="4" t="s">
        <v>114</v>
      </c>
      <c r="C8" s="15">
        <v>58.98</v>
      </c>
      <c r="D8" s="16">
        <v>4.42</v>
      </c>
      <c r="E8" s="20">
        <f>C8*D8</f>
      </c>
    </row>
    <row r="9" spans="1:5" x14ac:dyDescent="0.25">
      <c r="A9" s="4" t="s">
        <v>87</v>
      </c>
      <c r="B9" s="4" t="s">
        <v>115</v>
      </c>
      <c r="C9" s="15">
        <v>30.4</v>
      </c>
      <c r="D9" s="16">
        <v>2.34</v>
      </c>
      <c r="E9" s="20">
        <f>C9*D9</f>
      </c>
    </row>
    <row r="10" spans="1:5" x14ac:dyDescent="0.25">
      <c r="A10" s="4" t="s">
        <v>90</v>
      </c>
      <c r="B10" s="4" t="s">
        <v>111</v>
      </c>
      <c r="C10" s="15">
        <v>47.2</v>
      </c>
      <c r="D10" s="16">
        <v>22.96</v>
      </c>
      <c r="E10" s="20">
        <f>C10*D10</f>
      </c>
    </row>
    <row r="11" spans="1:5" x14ac:dyDescent="0.25">
      <c r="A11" s="4" t="s">
        <v>90</v>
      </c>
      <c r="B11" s="4" t="s">
        <v>112</v>
      </c>
      <c r="C11" s="15">
        <v>15.9</v>
      </c>
      <c r="D11" s="16">
        <v>16.2</v>
      </c>
      <c r="E11" s="20">
        <f>C11*D11</f>
      </c>
    </row>
    <row r="12" spans="1:5" x14ac:dyDescent="0.25">
      <c r="A12" s="4" t="s">
        <v>90</v>
      </c>
      <c r="B12" s="4" t="s">
        <v>113</v>
      </c>
      <c r="C12" s="15">
        <v>13.98</v>
      </c>
      <c r="D12" s="16">
        <v>16.7</v>
      </c>
      <c r="E12" s="20">
        <f>C12*D12</f>
      </c>
    </row>
    <row r="13" spans="1:5" x14ac:dyDescent="0.25">
      <c r="A13" s="4" t="s">
        <v>90</v>
      </c>
      <c r="B13" s="4" t="s">
        <v>114</v>
      </c>
      <c r="C13" s="15">
        <v>42.39</v>
      </c>
      <c r="D13" s="16">
        <v>4.42</v>
      </c>
      <c r="E13" s="20">
        <f>C13*D13</f>
      </c>
    </row>
    <row r="14" spans="1:5" x14ac:dyDescent="0.25">
      <c r="A14" s="4" t="s">
        <v>90</v>
      </c>
      <c r="B14" s="4" t="s">
        <v>115</v>
      </c>
      <c r="C14" s="15">
        <v>21.85</v>
      </c>
      <c r="D14" s="16">
        <v>2.34</v>
      </c>
      <c r="E14" s="20">
        <f>C14*D14</f>
      </c>
    </row>
    <row r="15" spans="1:5" x14ac:dyDescent="0.25">
      <c r="A15" s="4" t="s">
        <v>92</v>
      </c>
      <c r="B15" s="4" t="s">
        <v>111</v>
      </c>
      <c r="C15" s="15">
        <v>47.4</v>
      </c>
      <c r="D15" s="16">
        <v>22.96</v>
      </c>
      <c r="E15" s="20">
        <f>C15*D15</f>
      </c>
    </row>
    <row r="16" spans="1:5" x14ac:dyDescent="0.25">
      <c r="A16" s="4" t="s">
        <v>92</v>
      </c>
      <c r="B16" s="4" t="s">
        <v>112</v>
      </c>
      <c r="C16" s="15">
        <v>15.9</v>
      </c>
      <c r="D16" s="16">
        <v>16.2</v>
      </c>
      <c r="E16" s="20">
        <f>C16*D16</f>
      </c>
    </row>
    <row r="17" spans="1:5" x14ac:dyDescent="0.25">
      <c r="A17" s="4" t="s">
        <v>92</v>
      </c>
      <c r="B17" s="4" t="s">
        <v>113</v>
      </c>
      <c r="C17" s="15">
        <v>14.28</v>
      </c>
      <c r="D17" s="16">
        <v>16.7</v>
      </c>
      <c r="E17" s="20">
        <f>C17*D17</f>
      </c>
    </row>
    <row r="18" spans="1:5" x14ac:dyDescent="0.25">
      <c r="A18" s="4" t="s">
        <v>92</v>
      </c>
      <c r="B18" s="4" t="s">
        <v>114</v>
      </c>
      <c r="C18" s="15">
        <v>43.3</v>
      </c>
      <c r="D18" s="16">
        <v>4.42</v>
      </c>
      <c r="E18" s="20">
        <f>C18*D18</f>
      </c>
    </row>
    <row r="19" spans="1:5" x14ac:dyDescent="0.25">
      <c r="A19" s="4" t="s">
        <v>92</v>
      </c>
      <c r="B19" s="4" t="s">
        <v>115</v>
      </c>
      <c r="C19" s="15">
        <v>22.32</v>
      </c>
      <c r="D19" s="16">
        <v>2.34</v>
      </c>
      <c r="E19" s="20">
        <f>C19*D19</f>
      </c>
    </row>
    <row r="20" spans="1:5" x14ac:dyDescent="0.25">
      <c r="A20" s="4" t="s">
        <v>94</v>
      </c>
      <c r="B20" s="4" t="s">
        <v>111</v>
      </c>
      <c r="C20" s="15">
        <v>40.28</v>
      </c>
      <c r="D20" s="16">
        <v>22.96</v>
      </c>
      <c r="E20" s="20">
        <f>C20*D20</f>
      </c>
    </row>
    <row r="21" spans="1:5" x14ac:dyDescent="0.25">
      <c r="A21" s="4" t="s">
        <v>94</v>
      </c>
      <c r="B21" s="4" t="s">
        <v>116</v>
      </c>
      <c r="C21" s="15">
        <v>6.4</v>
      </c>
      <c r="D21" s="16">
        <v>26.86</v>
      </c>
      <c r="E21" s="20">
        <f>C21*D21</f>
      </c>
    </row>
    <row r="22" spans="1:5" x14ac:dyDescent="0.25">
      <c r="A22" s="4" t="s">
        <v>94</v>
      </c>
      <c r="B22" s="4" t="s">
        <v>112</v>
      </c>
      <c r="C22" s="15">
        <v>15.9</v>
      </c>
      <c r="D22" s="16">
        <v>16.2</v>
      </c>
      <c r="E22" s="20">
        <f>C22*D22</f>
      </c>
    </row>
    <row r="23" spans="1:5" x14ac:dyDescent="0.25">
      <c r="A23" s="4" t="s">
        <v>94</v>
      </c>
      <c r="B23" s="4" t="s">
        <v>113</v>
      </c>
      <c r="C23" s="15">
        <v>17.34</v>
      </c>
      <c r="D23" s="16">
        <v>16.7</v>
      </c>
      <c r="E23" s="20">
        <f>C23*D23</f>
      </c>
    </row>
    <row r="24" spans="1:5" x14ac:dyDescent="0.25">
      <c r="A24" s="4" t="s">
        <v>94</v>
      </c>
      <c r="B24" s="4" t="s">
        <v>114</v>
      </c>
      <c r="C24" s="15">
        <v>52.57</v>
      </c>
      <c r="D24" s="16">
        <v>4.42</v>
      </c>
      <c r="E24" s="20">
        <f>C24*D24</f>
      </c>
    </row>
    <row r="25" spans="1:5" x14ac:dyDescent="0.25">
      <c r="A25" s="4" t="s">
        <v>94</v>
      </c>
      <c r="B25" s="4" t="s">
        <v>115</v>
      </c>
      <c r="C25" s="15">
        <v>27.1</v>
      </c>
      <c r="D25" s="16">
        <v>2.34</v>
      </c>
      <c r="E25" s="20">
        <f>C25*D25</f>
      </c>
    </row>
    <row r="26" spans="1:5" x14ac:dyDescent="0.25">
      <c r="A26" s="4" t="s">
        <v>97</v>
      </c>
      <c r="B26" s="4" t="s">
        <v>111</v>
      </c>
      <c r="C26" s="15">
        <v>38.48</v>
      </c>
      <c r="D26" s="16">
        <v>22.96</v>
      </c>
      <c r="E26" s="20">
        <f>C26*D26</f>
      </c>
    </row>
    <row r="27" spans="1:5" x14ac:dyDescent="0.25">
      <c r="A27" s="4" t="s">
        <v>97</v>
      </c>
      <c r="B27" s="4" t="s">
        <v>116</v>
      </c>
      <c r="C27" s="15">
        <v>4.6</v>
      </c>
      <c r="D27" s="16">
        <v>26.86</v>
      </c>
      <c r="E27" s="20">
        <f>C27*D27</f>
      </c>
    </row>
    <row r="28" spans="1:5" x14ac:dyDescent="0.25">
      <c r="A28" s="4" t="s">
        <v>97</v>
      </c>
      <c r="B28" s="4" t="s">
        <v>112</v>
      </c>
      <c r="C28" s="15">
        <v>15.9</v>
      </c>
      <c r="D28" s="16">
        <v>16.2</v>
      </c>
      <c r="E28" s="20">
        <f>C28*D28</f>
      </c>
    </row>
    <row r="29" spans="1:5" x14ac:dyDescent="0.25">
      <c r="A29" s="4" t="s">
        <v>97</v>
      </c>
      <c r="B29" s="4" t="s">
        <v>113</v>
      </c>
      <c r="C29" s="15">
        <v>12.47</v>
      </c>
      <c r="D29" s="16">
        <v>16.7</v>
      </c>
      <c r="E29" s="20">
        <f>C29*D29</f>
      </c>
    </row>
    <row r="30" spans="1:5" x14ac:dyDescent="0.25">
      <c r="A30" s="4" t="s">
        <v>97</v>
      </c>
      <c r="B30" s="4" t="s">
        <v>114</v>
      </c>
      <c r="C30" s="15">
        <v>37.79</v>
      </c>
      <c r="D30" s="16">
        <v>4.42</v>
      </c>
      <c r="E30" s="20">
        <f>C30*D30</f>
      </c>
    </row>
    <row r="31" spans="1:5" x14ac:dyDescent="0.25">
      <c r="A31" s="4" t="s">
        <v>97</v>
      </c>
      <c r="B31" s="4" t="s">
        <v>115</v>
      </c>
      <c r="C31" s="15">
        <v>19.48</v>
      </c>
      <c r="D31" s="16">
        <v>2.34</v>
      </c>
      <c r="E31" s="20">
        <f>C31*D31</f>
      </c>
    </row>
    <row r="32" spans="1:5" x14ac:dyDescent="0.25">
      <c r="A32" s="4" t="s">
        <v>99</v>
      </c>
      <c r="B32" s="4" t="s">
        <v>111</v>
      </c>
      <c r="C32" s="15">
        <v>45.1</v>
      </c>
      <c r="D32" s="16">
        <v>22.96</v>
      </c>
      <c r="E32" s="20">
        <f>C32*D32</f>
      </c>
    </row>
    <row r="33" spans="1:5" x14ac:dyDescent="0.25">
      <c r="A33" s="4" t="s">
        <v>99</v>
      </c>
      <c r="B33" s="4" t="s">
        <v>116</v>
      </c>
      <c r="C33" s="15">
        <v>4.7</v>
      </c>
      <c r="D33" s="16">
        <v>26.86</v>
      </c>
      <c r="E33" s="20">
        <f>C33*D33</f>
      </c>
    </row>
    <row r="34" spans="1:5" x14ac:dyDescent="0.25">
      <c r="A34" s="4" t="s">
        <v>99</v>
      </c>
      <c r="B34" s="4" t="s">
        <v>117</v>
      </c>
      <c r="C34" s="15">
        <v>21.2</v>
      </c>
      <c r="D34" s="16">
        <v>16.2</v>
      </c>
      <c r="E34" s="20">
        <f>C34*D34</f>
      </c>
    </row>
    <row r="35" spans="1:5" x14ac:dyDescent="0.25">
      <c r="A35" s="4" t="s">
        <v>99</v>
      </c>
      <c r="B35" s="4" t="s">
        <v>113</v>
      </c>
      <c r="C35" s="15">
        <v>15.19</v>
      </c>
      <c r="D35" s="16">
        <v>16.7</v>
      </c>
      <c r="E35" s="20">
        <f>C35*D35</f>
      </c>
    </row>
    <row r="36" spans="1:5" x14ac:dyDescent="0.25">
      <c r="A36" s="4" t="s">
        <v>99</v>
      </c>
      <c r="B36" s="4" t="s">
        <v>114</v>
      </c>
      <c r="C36" s="15">
        <v>46.04</v>
      </c>
      <c r="D36" s="16">
        <v>4.42</v>
      </c>
      <c r="E36" s="20">
        <f>C36*D36</f>
      </c>
    </row>
    <row r="37" spans="1:5" x14ac:dyDescent="0.25">
      <c r="A37" s="4" t="s">
        <v>99</v>
      </c>
      <c r="B37" s="4" t="s">
        <v>115</v>
      </c>
      <c r="C37" s="15">
        <v>23.73</v>
      </c>
      <c r="D37" s="16">
        <v>2.34</v>
      </c>
      <c r="E37" s="20">
        <f>C37*D37</f>
      </c>
    </row>
    <row r="38" spans="1:5" x14ac:dyDescent="0.25">
      <c r="A38" s="4" t="s">
        <v>118</v>
      </c>
      <c r="B38" s="4" t="s">
        <v>119</v>
      </c>
      <c r="C38" s="15">
        <v>16.94</v>
      </c>
      <c r="D38" s="16">
        <v>26.86</v>
      </c>
      <c r="E38" s="20">
        <f>C38*D38</f>
      </c>
    </row>
    <row r="39" spans="1:5" x14ac:dyDescent="0.25">
      <c r="A39" s="4" t="s">
        <v>118</v>
      </c>
      <c r="B39" s="4" t="s">
        <v>120</v>
      </c>
      <c r="C39" s="15">
        <v>8.4</v>
      </c>
      <c r="D39" s="16">
        <v>16.2</v>
      </c>
      <c r="E39" s="20">
        <f>C39*D39</f>
      </c>
    </row>
    <row r="40" spans="1:5" x14ac:dyDescent="0.25">
      <c r="A40" s="4" t="s">
        <v>121</v>
      </c>
      <c r="B40" s="4" t="s">
        <v>122</v>
      </c>
      <c r="C40" s="15">
        <v>1</v>
      </c>
      <c r="D40" s="16">
        <v>450</v>
      </c>
      <c r="E40" s="20">
        <f>C40*D40</f>
      </c>
    </row>
    <row r="41" spans="1:5" x14ac:dyDescent="0.25">
      <c r="A41" s="4" t="s">
        <v>121</v>
      </c>
      <c r="B41" s="4" t="s">
        <v>123</v>
      </c>
      <c r="C41" s="15">
        <v>144.88</v>
      </c>
      <c r="D41" s="16">
        <v>5.59</v>
      </c>
      <c r="E41" s="20">
        <f>C41*D41</f>
      </c>
    </row>
    <row r="42" spans="2:5" x14ac:dyDescent="0.25">
      <c r="B42" s="17" t="s">
        <v>124</v>
      </c>
      <c r="E42" s="21">
        <f>SUM(E5:E41)</f>
      </c>
    </row>
    <row r="43" spans="2:5" x14ac:dyDescent="0.25">
      <c r="B43" s="4" t="s">
        <v>125</v>
      </c>
      <c r="E43" s="22">
        <f>E42/148.3</f>
      </c>
    </row>
    <row r="44" spans="2:2" x14ac:dyDescent="0.25">
      <c r="B44" s="4" t="s">
        <v>126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Header>&amp;L&amp;"Arial,Bold"&amp;12rg21&amp;"Arial,Regular"&amp;8  CAPITAL&amp;R&amp;"Arial,Regular"&amp;8NÉVOLA · PILOTO MODULAR</oddHeader>
    <oddFooter>&amp;L&amp;"Arial,Regular"&amp;8USO INTERNO · NO ENVIAR AL PROMOTOR&amp;R&amp;"Arial,Regular"&amp;8Página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1414"/>
    <pageSetUpPr fitToPage="1"/>
  </sheetPr>
  <dimension ref="A1:F19"/>
  <sheetViews>
    <sheetView workbookViewId="0" showGridLines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64" customWidth="1"/>
    <col min="2" max="2" width="7" customWidth="1"/>
    <col min="3" max="3" width="12" customWidth="1"/>
    <col min="4" max="5" width="14" customWidth="1"/>
    <col min="6" max="6" width="52" customWidth="1"/>
  </cols>
  <sheetData>
    <row r="1" ht="24" customHeight="1" spans="1:1" x14ac:dyDescent="0.25">
      <c r="A1" s="1" t="s">
        <v>127</v>
      </c>
    </row>
    <row r="2" spans="1:1" x14ac:dyDescent="0.25">
      <c r="A2" s="2" t="s">
        <v>128</v>
      </c>
    </row>
    <row r="4" ht="30" customHeight="1" spans="1:6" x14ac:dyDescent="0.25">
      <c r="A4" s="3" t="s">
        <v>129</v>
      </c>
      <c r="B4" s="3" t="s">
        <v>130</v>
      </c>
      <c r="C4" s="3" t="s">
        <v>131</v>
      </c>
      <c r="D4" s="3" t="s">
        <v>132</v>
      </c>
      <c r="E4" s="3" t="s">
        <v>133</v>
      </c>
      <c r="F4" s="3" t="s">
        <v>134</v>
      </c>
    </row>
    <row r="5" spans="1:6" x14ac:dyDescent="0.25">
      <c r="A5" s="4" t="s">
        <v>135</v>
      </c>
      <c r="B5" s="4" t="s">
        <v>110</v>
      </c>
      <c r="C5" s="16">
        <f>Acero!$E$42</f>
      </c>
      <c r="D5" s="23">
        <f>Supuestos!$B$6</f>
      </c>
      <c r="E5" s="5">
        <f>C5*D5</f>
      </c>
      <c r="F5" s="4" t="s">
        <v>17</v>
      </c>
    </row>
    <row r="6" spans="1:6" x14ac:dyDescent="0.25">
      <c r="A6" s="4" t="s">
        <v>136</v>
      </c>
      <c r="B6" s="4" t="s">
        <v>137</v>
      </c>
      <c r="C6" s="15">
        <v>166.17</v>
      </c>
      <c r="D6" s="23">
        <f>(Supuestos!$B$10*(1+Supuestos!$B$5)*(1+Supuestos!$B$9)+Supuestos!$B$8*Supuestos!$B$7)</f>
      </c>
      <c r="E6" s="5">
        <f>C6*D6</f>
      </c>
      <c r="F6" s="4" t="s">
        <v>138</v>
      </c>
    </row>
    <row r="7" spans="1:6" x14ac:dyDescent="0.25">
      <c r="A7" s="4" t="s">
        <v>139</v>
      </c>
      <c r="B7" s="4" t="s">
        <v>137</v>
      </c>
      <c r="C7" s="15">
        <v>68.3</v>
      </c>
      <c r="D7" s="23">
        <f>(Supuestos!$B$10*(1+Supuestos!$B$5)*(1+Supuestos!$B$9)+Supuestos!$B$8*Supuestos!$B$7)</f>
      </c>
      <c r="E7" s="5">
        <f>C7*D7</f>
      </c>
      <c r="F7" s="4" t="s">
        <v>140</v>
      </c>
    </row>
    <row r="8" spans="1:6" x14ac:dyDescent="0.25">
      <c r="A8" s="4" t="s">
        <v>141</v>
      </c>
      <c r="B8" s="4" t="s">
        <v>137</v>
      </c>
      <c r="C8" s="15">
        <v>10.77</v>
      </c>
      <c r="D8" s="23">
        <f>(Supuestos!$B$10*(1+Supuestos!$B$5)*(1+Supuestos!$B$9)+Supuestos!$B$8*Supuestos!$B$7)</f>
      </c>
      <c r="E8" s="5">
        <f>C8*D8</f>
      </c>
      <c r="F8" s="4" t="s">
        <v>142</v>
      </c>
    </row>
    <row r="9" spans="1:6" x14ac:dyDescent="0.25">
      <c r="A9" s="4" t="s">
        <v>143</v>
      </c>
      <c r="B9" s="4" t="s">
        <v>137</v>
      </c>
      <c r="C9" s="15">
        <v>234.48</v>
      </c>
      <c r="D9" s="23">
        <f>Supuestos!$B$13</f>
      </c>
      <c r="E9" s="5">
        <f>C9*D9</f>
      </c>
      <c r="F9" s="4" t="s">
        <v>144</v>
      </c>
    </row>
    <row r="10" spans="1:6" x14ac:dyDescent="0.25">
      <c r="A10" s="4" t="s">
        <v>145</v>
      </c>
      <c r="B10" s="4" t="s">
        <v>137</v>
      </c>
      <c r="C10" s="15">
        <v>166.17</v>
      </c>
      <c r="D10" s="23">
        <f>Supuestos!$B$14</f>
      </c>
      <c r="E10" s="5">
        <f>C10*D10</f>
      </c>
      <c r="F10" s="4" t="s">
        <v>17</v>
      </c>
    </row>
    <row r="11" spans="1:6" x14ac:dyDescent="0.25">
      <c r="A11" s="4" t="s">
        <v>146</v>
      </c>
      <c r="B11" s="4" t="s">
        <v>137</v>
      </c>
      <c r="C11" s="15">
        <v>176.94</v>
      </c>
      <c r="D11" s="23">
        <f>Supuestos!$B$15</f>
      </c>
      <c r="E11" s="5">
        <f>C11*D11</f>
      </c>
      <c r="F11" s="4" t="s">
        <v>147</v>
      </c>
    </row>
    <row r="12" spans="1:6" x14ac:dyDescent="0.25">
      <c r="A12" s="4" t="s">
        <v>148</v>
      </c>
      <c r="B12" s="4" t="s">
        <v>137</v>
      </c>
      <c r="C12" s="15">
        <v>84.37</v>
      </c>
      <c r="D12" s="23">
        <f>(Supuestos!$B$11*(1+Supuestos!$B$5)*(1+Supuestos!$B$9)+Supuestos!$B$8*Supuestos!$B$7)</f>
      </c>
      <c r="E12" s="5">
        <f>C12*D12</f>
      </c>
      <c r="F12" s="4" t="s">
        <v>17</v>
      </c>
    </row>
    <row r="13" spans="1:6" x14ac:dyDescent="0.25">
      <c r="A13" s="4" t="s">
        <v>149</v>
      </c>
      <c r="B13" s="4" t="s">
        <v>137</v>
      </c>
      <c r="C13" s="15">
        <v>75.39</v>
      </c>
      <c r="D13" s="23">
        <f>Supuestos!$B$16</f>
      </c>
      <c r="E13" s="5">
        <f>C13*D13</f>
      </c>
      <c r="F13" s="4" t="s">
        <v>144</v>
      </c>
    </row>
    <row r="14" spans="1:6" x14ac:dyDescent="0.25">
      <c r="A14" s="4" t="s">
        <v>150</v>
      </c>
      <c r="B14" s="4" t="s">
        <v>137</v>
      </c>
      <c r="C14" s="15">
        <v>8.98</v>
      </c>
      <c r="D14" s="23">
        <f>Supuestos!$B$17</f>
      </c>
      <c r="E14" s="5">
        <f>C14*D14</f>
      </c>
      <c r="F14" s="4" t="s">
        <v>144</v>
      </c>
    </row>
    <row r="15" spans="1:6" x14ac:dyDescent="0.25">
      <c r="A15" s="4" t="s">
        <v>151</v>
      </c>
      <c r="B15" s="4" t="s">
        <v>137</v>
      </c>
      <c r="C15" s="15">
        <v>74.58</v>
      </c>
      <c r="D15" s="23">
        <f>(Supuestos!$B$12*(1+Supuestos!$B$5)*(1+Supuestos!$B$9)+Supuestos!$B$8*Supuestos!$B$7)</f>
      </c>
      <c r="E15" s="5">
        <f>C15*D15</f>
      </c>
      <c r="F15" s="4" t="s">
        <v>152</v>
      </c>
    </row>
    <row r="16" spans="1:6" x14ac:dyDescent="0.25">
      <c r="A16" s="4" t="s">
        <v>153</v>
      </c>
      <c r="B16" s="4" t="s">
        <v>137</v>
      </c>
      <c r="C16" s="15">
        <v>75.39</v>
      </c>
      <c r="D16" s="23">
        <f>(Supuestos!$B$11*(1+Supuestos!$B$5)*(1+Supuestos!$B$9)+Supuestos!$B$8*Supuestos!$B$7)</f>
      </c>
      <c r="E16" s="5">
        <f>C16*D16</f>
      </c>
      <c r="F16" s="4" t="s">
        <v>154</v>
      </c>
    </row>
    <row r="17" spans="1:6" x14ac:dyDescent="0.25">
      <c r="A17" s="4" t="s">
        <v>155</v>
      </c>
      <c r="B17" s="4" t="s">
        <v>156</v>
      </c>
      <c r="C17" s="15">
        <v>73.04</v>
      </c>
      <c r="D17" s="23">
        <f>Supuestos!$B$18</f>
      </c>
      <c r="E17" s="5">
        <f>C17*D17</f>
      </c>
      <c r="F17" s="4" t="s">
        <v>157</v>
      </c>
    </row>
    <row r="18" spans="1:6" x14ac:dyDescent="0.25">
      <c r="A18" s="4" t="s">
        <v>158</v>
      </c>
      <c r="B18" s="4" t="s">
        <v>159</v>
      </c>
      <c r="C18" s="15">
        <v>1</v>
      </c>
      <c r="D18" s="23">
        <f>Supuestos!$B$19</f>
      </c>
      <c r="E18" s="5">
        <f>C18*D18</f>
      </c>
      <c r="F18" s="4" t="s">
        <v>160</v>
      </c>
    </row>
    <row r="19" spans="1:5" x14ac:dyDescent="0.25">
      <c r="A19" s="17" t="s">
        <v>161</v>
      </c>
      <c r="E19" s="24">
        <f>SUM(E5:E18)</f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Header>&amp;L&amp;"Arial,Bold"&amp;12rg21&amp;"Arial,Regular"&amp;8  CAPITAL&amp;R&amp;"Arial,Regular"&amp;8NÉVOLA · PILOTO MODULAR</oddHeader>
    <oddFooter>&amp;L&amp;"Arial,Regular"&amp;8USO INTERNO · NO ENVIAR AL PROMOTOR&amp;R&amp;"Arial,Regular"&amp;8Página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1414"/>
    <pageSetUpPr fitToPage="1"/>
  </sheetPr>
  <dimension ref="A1:C16"/>
  <sheetViews>
    <sheetView workbookViewId="0" showGridLines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0" customWidth="1"/>
    <col min="3" max="3" width="16" customWidth="1"/>
  </cols>
  <sheetData>
    <row r="1" ht="24" customHeight="1" spans="1:1" x14ac:dyDescent="0.25">
      <c r="A1" s="1" t="s">
        <v>162</v>
      </c>
    </row>
    <row r="2" spans="1:1" x14ac:dyDescent="0.25">
      <c r="A2" s="2" t="s">
        <v>163</v>
      </c>
    </row>
    <row r="4" ht="30" customHeight="1" spans="1:3" x14ac:dyDescent="0.25">
      <c r="A4" s="3" t="s">
        <v>164</v>
      </c>
      <c r="B4" s="3" t="s">
        <v>165</v>
      </c>
      <c r="C4" s="3" t="s">
        <v>166</v>
      </c>
    </row>
    <row r="5" spans="1:3" x14ac:dyDescent="0.25">
      <c r="A5" s="4" t="s">
        <v>167</v>
      </c>
      <c r="B5" s="4" t="s">
        <v>168</v>
      </c>
      <c r="C5" s="25">
        <v>572.86</v>
      </c>
    </row>
    <row r="6" spans="1:3" x14ac:dyDescent="0.25">
      <c r="A6" s="4" t="s">
        <v>169</v>
      </c>
      <c r="B6" s="4" t="s">
        <v>170</v>
      </c>
      <c r="C6" s="25">
        <v>849.18</v>
      </c>
    </row>
    <row r="7" spans="1:3" x14ac:dyDescent="0.25">
      <c r="A7" s="4" t="s">
        <v>171</v>
      </c>
      <c r="B7" s="4" t="s">
        <v>172</v>
      </c>
      <c r="C7" s="25">
        <v>9471.83</v>
      </c>
    </row>
    <row r="8" spans="1:3" x14ac:dyDescent="0.25">
      <c r="A8" s="4" t="s">
        <v>173</v>
      </c>
      <c r="B8" s="4" t="s">
        <v>174</v>
      </c>
      <c r="C8" s="25">
        <v>10163.61</v>
      </c>
    </row>
    <row r="9" spans="1:3" x14ac:dyDescent="0.25">
      <c r="A9" s="4" t="s">
        <v>175</v>
      </c>
      <c r="B9" s="4" t="s">
        <v>176</v>
      </c>
      <c r="C9" s="25">
        <v>3924.09</v>
      </c>
    </row>
    <row r="10" spans="1:3" x14ac:dyDescent="0.25">
      <c r="A10" s="4" t="s">
        <v>177</v>
      </c>
      <c r="B10" s="4" t="s">
        <v>178</v>
      </c>
      <c r="C10" s="25">
        <v>12377.21</v>
      </c>
    </row>
    <row r="11" spans="1:3" x14ac:dyDescent="0.25">
      <c r="A11" s="4" t="s">
        <v>179</v>
      </c>
      <c r="B11" s="4" t="s">
        <v>180</v>
      </c>
      <c r="C11" s="25">
        <v>3748.1</v>
      </c>
    </row>
    <row r="12" spans="1:3" x14ac:dyDescent="0.25">
      <c r="A12" s="4" t="s">
        <v>181</v>
      </c>
      <c r="B12" s="4" t="s">
        <v>182</v>
      </c>
      <c r="C12" s="25">
        <v>13180.5</v>
      </c>
    </row>
    <row r="13" spans="1:3" x14ac:dyDescent="0.25">
      <c r="A13" s="4" t="s">
        <v>183</v>
      </c>
      <c r="B13" s="4" t="s">
        <v>184</v>
      </c>
      <c r="C13" s="25">
        <v>5829.69</v>
      </c>
    </row>
    <row r="14" spans="1:3" x14ac:dyDescent="0.25">
      <c r="A14" s="4" t="s">
        <v>185</v>
      </c>
      <c r="B14" s="4" t="s">
        <v>186</v>
      </c>
      <c r="C14" s="25">
        <v>18715.51</v>
      </c>
    </row>
    <row r="15" spans="1:3" x14ac:dyDescent="0.25">
      <c r="A15" s="4" t="s">
        <v>187</v>
      </c>
      <c r="B15" s="4" t="s">
        <v>188</v>
      </c>
      <c r="C15" s="25">
        <v>532.8</v>
      </c>
    </row>
    <row r="16" spans="2:3" x14ac:dyDescent="0.25">
      <c r="B16" s="17" t="s">
        <v>103</v>
      </c>
      <c r="C16" s="24">
        <f>SUM(C5:C15)</f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Header>&amp;L&amp;"Arial,Bold"&amp;12rg21&amp;"Arial,Regular"&amp;8  CAPITAL&amp;R&amp;"Arial,Regular"&amp;8NÉVOLA · PILOTO MODULAR</oddHeader>
    <oddFooter>&amp;L&amp;"Arial,Regular"&amp;8USO INTERNO · NO ENVIAR AL PROMOTOR&amp;R&amp;"Arial,Regular"&amp;8Página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1414"/>
    <pageSetUpPr fitToPage="1"/>
  </sheetPr>
  <dimension ref="A1:G27"/>
  <sheetViews>
    <sheetView workbookViewId="0" showGridLines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48" customWidth="1"/>
    <col min="4" max="4" width="14" customWidth="1"/>
    <col min="5" max="5" width="60" customWidth="1"/>
    <col min="6" max="6" width="13" customWidth="1"/>
    <col min="7" max="7" width="12" customWidth="1"/>
  </cols>
  <sheetData>
    <row r="1" ht="24" customHeight="1" spans="1:1" x14ac:dyDescent="0.25">
      <c r="A1" s="1" t="s">
        <v>189</v>
      </c>
    </row>
    <row r="2" spans="1:1" x14ac:dyDescent="0.25">
      <c r="A2" s="2" t="s">
        <v>190</v>
      </c>
    </row>
    <row r="4" ht="30" customHeight="1" spans="1:7" x14ac:dyDescent="0.25">
      <c r="A4" s="3" t="s">
        <v>164</v>
      </c>
      <c r="B4" s="3" t="s">
        <v>129</v>
      </c>
      <c r="C4" s="3" t="s">
        <v>191</v>
      </c>
      <c r="D4" s="3" t="s">
        <v>192</v>
      </c>
      <c r="E4" s="3" t="s">
        <v>193</v>
      </c>
      <c r="F4" s="3" t="s">
        <v>194</v>
      </c>
      <c r="G4" s="3" t="s">
        <v>195</v>
      </c>
    </row>
    <row r="5" spans="1:7" x14ac:dyDescent="0.25">
      <c r="A5" s="4" t="s">
        <v>196</v>
      </c>
      <c r="B5" s="4" t="s">
        <v>197</v>
      </c>
      <c r="C5" s="9" t="s">
        <v>198</v>
      </c>
      <c r="D5" s="5">
        <v>8376</v>
      </c>
      <c r="E5" s="9" t="s">
        <v>199</v>
      </c>
      <c r="F5" s="13">
        <v>2000</v>
      </c>
      <c r="G5" s="4" t="s">
        <v>200</v>
      </c>
    </row>
    <row r="6" spans="1:7" x14ac:dyDescent="0.25">
      <c r="A6" s="4" t="s">
        <v>196</v>
      </c>
      <c r="B6" s="4" t="s">
        <v>201</v>
      </c>
      <c r="C6" s="9" t="s">
        <v>202</v>
      </c>
      <c r="D6" s="5">
        <v>595</v>
      </c>
      <c r="E6" s="9" t="s">
        <v>203</v>
      </c>
      <c r="F6" s="13">
        <v>400</v>
      </c>
      <c r="G6" s="4" t="s">
        <v>204</v>
      </c>
    </row>
    <row r="7" spans="1:7" x14ac:dyDescent="0.25">
      <c r="A7" s="4" t="s">
        <v>196</v>
      </c>
      <c r="B7" s="4" t="s">
        <v>205</v>
      </c>
      <c r="C7" s="9" t="s">
        <v>206</v>
      </c>
      <c r="D7" s="5">
        <v>4483</v>
      </c>
      <c r="E7" s="9" t="s">
        <v>207</v>
      </c>
      <c r="F7" s="13">
        <v>750</v>
      </c>
      <c r="G7" s="4" t="s">
        <v>200</v>
      </c>
    </row>
    <row r="8" spans="1:7" x14ac:dyDescent="0.25">
      <c r="A8" s="4" t="s">
        <v>208</v>
      </c>
      <c r="B8" s="4" t="s">
        <v>209</v>
      </c>
      <c r="C8" s="9" t="s">
        <v>210</v>
      </c>
      <c r="D8" s="5">
        <v>3910</v>
      </c>
      <c r="E8" s="9" t="s">
        <v>211</v>
      </c>
      <c r="F8" s="13">
        <v>1000</v>
      </c>
      <c r="G8" s="4" t="s">
        <v>212</v>
      </c>
    </row>
    <row r="9" spans="1:7" x14ac:dyDescent="0.25">
      <c r="A9" s="4" t="s">
        <v>213</v>
      </c>
      <c r="B9" s="4" t="s">
        <v>214</v>
      </c>
      <c r="C9" s="9" t="s">
        <v>215</v>
      </c>
      <c r="D9" s="5">
        <v>3447</v>
      </c>
      <c r="E9" s="9" t="s">
        <v>216</v>
      </c>
      <c r="F9" s="13">
        <v>1180</v>
      </c>
      <c r="G9" s="4" t="s">
        <v>204</v>
      </c>
    </row>
    <row r="10" spans="1:7" x14ac:dyDescent="0.25">
      <c r="A10" s="4" t="s">
        <v>213</v>
      </c>
      <c r="B10" s="4" t="s">
        <v>217</v>
      </c>
      <c r="C10" s="9" t="s">
        <v>218</v>
      </c>
      <c r="D10" s="5">
        <v>992</v>
      </c>
      <c r="E10" s="9" t="s">
        <v>219</v>
      </c>
      <c r="F10" s="13">
        <v>992</v>
      </c>
      <c r="G10" s="4" t="s">
        <v>204</v>
      </c>
    </row>
    <row r="11" spans="1:7" x14ac:dyDescent="0.25">
      <c r="A11" s="4" t="s">
        <v>220</v>
      </c>
      <c r="B11" s="4" t="s">
        <v>221</v>
      </c>
      <c r="C11" s="9" t="s">
        <v>222</v>
      </c>
      <c r="D11" s="5">
        <v>1504</v>
      </c>
      <c r="E11" s="9" t="s">
        <v>223</v>
      </c>
      <c r="F11" s="13">
        <v>1400</v>
      </c>
      <c r="G11" s="4" t="s">
        <v>204</v>
      </c>
    </row>
    <row r="12" spans="1:7" x14ac:dyDescent="0.25">
      <c r="A12" s="4" t="s">
        <v>224</v>
      </c>
      <c r="B12" s="4" t="s">
        <v>225</v>
      </c>
      <c r="C12" s="9" t="s">
        <v>226</v>
      </c>
      <c r="D12" s="5">
        <v>2061</v>
      </c>
      <c r="E12" s="9" t="s">
        <v>227</v>
      </c>
      <c r="F12" s="13">
        <v>1200</v>
      </c>
      <c r="G12" s="4" t="s">
        <v>204</v>
      </c>
    </row>
    <row r="13" spans="1:7" x14ac:dyDescent="0.25">
      <c r="A13" s="4" t="s">
        <v>224</v>
      </c>
      <c r="B13" s="4" t="s">
        <v>228</v>
      </c>
      <c r="C13" s="9" t="s">
        <v>229</v>
      </c>
      <c r="D13" s="5">
        <v>1242</v>
      </c>
      <c r="E13" s="9" t="s">
        <v>230</v>
      </c>
      <c r="F13" s="13">
        <v>890</v>
      </c>
      <c r="G13" s="4" t="s">
        <v>212</v>
      </c>
    </row>
    <row r="14" spans="1:7" x14ac:dyDescent="0.25">
      <c r="A14" s="4" t="s">
        <v>224</v>
      </c>
      <c r="B14" s="4" t="s">
        <v>231</v>
      </c>
      <c r="C14" s="9" t="s">
        <v>232</v>
      </c>
      <c r="D14" s="5">
        <v>1171</v>
      </c>
      <c r="E14" s="9" t="s">
        <v>233</v>
      </c>
      <c r="F14" s="13">
        <v>320</v>
      </c>
      <c r="G14" s="4" t="s">
        <v>200</v>
      </c>
    </row>
    <row r="15" spans="1:7" x14ac:dyDescent="0.25">
      <c r="A15" s="4" t="s">
        <v>224</v>
      </c>
      <c r="B15" s="4" t="s">
        <v>234</v>
      </c>
      <c r="C15" s="9" t="s">
        <v>235</v>
      </c>
      <c r="D15" s="5">
        <v>730</v>
      </c>
      <c r="E15" s="9" t="s">
        <v>236</v>
      </c>
      <c r="F15" s="13">
        <v>280</v>
      </c>
      <c r="G15" s="4" t="s">
        <v>200</v>
      </c>
    </row>
    <row r="16" spans="1:7" x14ac:dyDescent="0.25">
      <c r="A16" s="4" t="s">
        <v>237</v>
      </c>
      <c r="B16" s="4" t="s">
        <v>238</v>
      </c>
      <c r="C16" s="9" t="s">
        <v>239</v>
      </c>
      <c r="D16" s="5">
        <v>3245</v>
      </c>
      <c r="E16" s="9" t="s">
        <v>240</v>
      </c>
      <c r="F16" s="13">
        <v>715</v>
      </c>
      <c r="G16" s="4" t="s">
        <v>200</v>
      </c>
    </row>
    <row r="17" spans="1:7" x14ac:dyDescent="0.25">
      <c r="A17" s="4" t="s">
        <v>237</v>
      </c>
      <c r="B17" s="4" t="s">
        <v>241</v>
      </c>
      <c r="C17" s="9" t="s">
        <v>242</v>
      </c>
      <c r="D17" s="5">
        <v>3918</v>
      </c>
      <c r="E17" s="9" t="s">
        <v>243</v>
      </c>
      <c r="F17" s="13">
        <v>700</v>
      </c>
      <c r="G17" s="4" t="s">
        <v>200</v>
      </c>
    </row>
    <row r="18" spans="1:7" x14ac:dyDescent="0.25">
      <c r="A18" s="4" t="s">
        <v>180</v>
      </c>
      <c r="B18" s="4" t="s">
        <v>244</v>
      </c>
      <c r="C18" s="9" t="s">
        <v>245</v>
      </c>
      <c r="D18" s="5">
        <v>3748</v>
      </c>
      <c r="E18" s="9" t="s">
        <v>246</v>
      </c>
      <c r="F18" s="13">
        <v>850</v>
      </c>
      <c r="G18" s="4" t="s">
        <v>200</v>
      </c>
    </row>
    <row r="19" spans="1:7" x14ac:dyDescent="0.25">
      <c r="A19" s="4" t="s">
        <v>247</v>
      </c>
      <c r="B19" s="4" t="s">
        <v>248</v>
      </c>
      <c r="C19" s="9" t="s">
        <v>249</v>
      </c>
      <c r="D19" s="5">
        <v>8012</v>
      </c>
      <c r="E19" s="9" t="s">
        <v>250</v>
      </c>
      <c r="F19" s="13">
        <v>650</v>
      </c>
      <c r="G19" s="4" t="s">
        <v>200</v>
      </c>
    </row>
    <row r="20" spans="1:7" x14ac:dyDescent="0.25">
      <c r="A20" s="4" t="s">
        <v>247</v>
      </c>
      <c r="B20" s="4" t="s">
        <v>251</v>
      </c>
      <c r="C20" s="9" t="s">
        <v>252</v>
      </c>
      <c r="D20" s="5">
        <v>1681</v>
      </c>
      <c r="E20" s="9" t="s">
        <v>253</v>
      </c>
      <c r="F20" s="13">
        <v>520</v>
      </c>
      <c r="G20" s="4" t="s">
        <v>204</v>
      </c>
    </row>
    <row r="21" spans="1:7" x14ac:dyDescent="0.25">
      <c r="A21" s="4" t="s">
        <v>247</v>
      </c>
      <c r="B21" s="4" t="s">
        <v>254</v>
      </c>
      <c r="C21" s="9" t="s">
        <v>255</v>
      </c>
      <c r="D21" s="5">
        <v>1408</v>
      </c>
      <c r="E21" s="9" t="s">
        <v>256</v>
      </c>
      <c r="F21" s="13">
        <v>340</v>
      </c>
      <c r="G21" s="4" t="s">
        <v>200</v>
      </c>
    </row>
    <row r="22" spans="5:6" x14ac:dyDescent="0.25">
      <c r="E22" s="4" t="s">
        <v>257</v>
      </c>
      <c r="F22" s="5">
        <f>SUMIF(G5:G21,"S",F5:F21)</f>
      </c>
    </row>
    <row r="23" spans="5:6" x14ac:dyDescent="0.25">
      <c r="E23" s="4" t="s">
        <v>258</v>
      </c>
      <c r="F23" s="5">
        <f>SUMIF(G5:G21,"M",F5:F21)</f>
      </c>
    </row>
    <row r="24" spans="5:6" x14ac:dyDescent="0.25">
      <c r="E24" s="4" t="s">
        <v>259</v>
      </c>
      <c r="F24" s="5">
        <f>SUMIF(G5:G21,"A",F5:F21)</f>
      </c>
    </row>
    <row r="25" spans="5:6" x14ac:dyDescent="0.25">
      <c r="E25" s="17" t="s">
        <v>260</v>
      </c>
      <c r="F25" s="24">
        <f>SUM(F5:F21)</f>
      </c>
    </row>
    <row r="26" spans="5:6" x14ac:dyDescent="0.25">
      <c r="E26" s="17" t="s">
        <v>261</v>
      </c>
      <c r="F26" s="24">
        <f>F25*(1+Supuestos!$B$31)</f>
      </c>
    </row>
    <row r="27" spans="5:6" x14ac:dyDescent="0.25">
      <c r="E27" s="17" t="s">
        <v>262</v>
      </c>
      <c r="F27" s="24">
        <f>'Resumen piloto'!B15-F26</f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Header>&amp;L&amp;"Arial,Bold"&amp;12rg21&amp;"Arial,Regular"&amp;8  CAPITAL&amp;R&amp;"Arial,Regular"&amp;8NÉVOLA · PILOTO MODULAR</oddHeader>
    <oddFooter>&amp;L&amp;"Arial,Regular"&amp;8USO INTERNO · NO ENVIAR AL PROMOTOR&amp;R&amp;"Arial,Regular"&amp;8Página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8381F"/>
    <pageSetUpPr fitToPage="1"/>
  </sheetPr>
  <dimension ref="A1:F65"/>
  <sheetViews>
    <sheetView workbookViewId="0" showGridLines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66" customWidth="1"/>
    <col min="2" max="5" width="17" customWidth="1"/>
    <col min="6" max="6" width="52" customWidth="1"/>
  </cols>
  <sheetData>
    <row r="1" ht="24" customHeight="1" spans="1:1" x14ac:dyDescent="0.25">
      <c r="A1" s="1" t="s">
        <v>263</v>
      </c>
    </row>
    <row r="2" spans="1:1" x14ac:dyDescent="0.25">
      <c r="A2" s="2" t="s">
        <v>264</v>
      </c>
    </row>
    <row r="4" ht="30" customHeight="1" spans="1:6" x14ac:dyDescent="0.25">
      <c r="A4" s="3" t="s">
        <v>265</v>
      </c>
      <c r="B4" s="3" t="s">
        <v>28</v>
      </c>
      <c r="F4" s="3" t="s">
        <v>29</v>
      </c>
    </row>
    <row r="5" spans="1:6" x14ac:dyDescent="0.25">
      <c r="A5" s="4" t="s">
        <v>266</v>
      </c>
      <c r="B5" s="14">
        <v>6</v>
      </c>
      <c r="F5" s="4" t="s">
        <v>267</v>
      </c>
    </row>
    <row r="6" spans="1:6" x14ac:dyDescent="0.25">
      <c r="A6" s="4" t="s">
        <v>268</v>
      </c>
      <c r="B6" s="12">
        <v>146.7</v>
      </c>
      <c r="F6" s="4" t="s">
        <v>269</v>
      </c>
    </row>
    <row r="7" spans="1:6" x14ac:dyDescent="0.25">
      <c r="A7" s="4" t="s">
        <v>270</v>
      </c>
      <c r="B7" s="13">
        <v>28250</v>
      </c>
      <c r="F7" s="4" t="s">
        <v>35</v>
      </c>
    </row>
    <row r="8" spans="1:6" x14ac:dyDescent="0.25">
      <c r="A8" s="4" t="s">
        <v>271</v>
      </c>
      <c r="B8" s="10">
        <v>0.08</v>
      </c>
      <c r="F8" s="4" t="s">
        <v>272</v>
      </c>
    </row>
    <row r="9" spans="1:6" x14ac:dyDescent="0.25">
      <c r="A9" s="4" t="s">
        <v>273</v>
      </c>
      <c r="B9" s="13">
        <v>8000</v>
      </c>
      <c r="F9" s="4" t="s">
        <v>267</v>
      </c>
    </row>
    <row r="10" spans="1:6" x14ac:dyDescent="0.25">
      <c r="A10" s="4" t="s">
        <v>274</v>
      </c>
      <c r="B10" s="10">
        <v>0.01</v>
      </c>
      <c r="F10" s="4" t="s">
        <v>275</v>
      </c>
    </row>
    <row r="11" spans="1:6" x14ac:dyDescent="0.25">
      <c r="A11" s="4" t="s">
        <v>276</v>
      </c>
      <c r="B11" s="10">
        <v>0.03</v>
      </c>
      <c r="F11" s="4" t="s">
        <v>277</v>
      </c>
    </row>
    <row r="12" spans="1:6" x14ac:dyDescent="0.25">
      <c r="A12" s="4" t="s">
        <v>278</v>
      </c>
      <c r="B12" s="13">
        <v>190091</v>
      </c>
      <c r="F12" s="4" t="s">
        <v>279</v>
      </c>
    </row>
    <row r="13" spans="1:6" x14ac:dyDescent="0.25">
      <c r="A13" s="4" t="s">
        <v>280</v>
      </c>
      <c r="B13" s="13">
        <v>194636</v>
      </c>
      <c r="F13" s="4" t="s">
        <v>281</v>
      </c>
    </row>
    <row r="14" spans="1:6" x14ac:dyDescent="0.25">
      <c r="A14" s="4" t="s">
        <v>282</v>
      </c>
      <c r="B14" s="13">
        <v>225400</v>
      </c>
      <c r="F14" s="4" t="s">
        <v>283</v>
      </c>
    </row>
    <row r="15" spans="1:6" x14ac:dyDescent="0.25">
      <c r="A15" s="4" t="s">
        <v>284</v>
      </c>
      <c r="B15" s="13">
        <v>273600</v>
      </c>
      <c r="F15" s="4" t="s">
        <v>285</v>
      </c>
    </row>
    <row r="16" spans="1:6" x14ac:dyDescent="0.25">
      <c r="A16" s="4" t="s">
        <v>286</v>
      </c>
      <c r="B16" s="13">
        <v>209100</v>
      </c>
      <c r="F16" s="4" t="s">
        <v>285</v>
      </c>
    </row>
    <row r="17" spans="1:6" x14ac:dyDescent="0.25">
      <c r="A17" s="4" t="s">
        <v>287</v>
      </c>
      <c r="B17" s="13">
        <v>214100</v>
      </c>
      <c r="F17" s="4" t="s">
        <v>285</v>
      </c>
    </row>
    <row r="19" spans="1:6" x14ac:dyDescent="0.25">
      <c r="A19" s="4" t="s">
        <v>288</v>
      </c>
      <c r="B19" s="20">
        <f>(Acero!$E$42*(Supuestos!$B$6-0.90-0.24)+479.59*Supuestos!$B$8*Supuestos!$B$7)/Supuestos!$B$7</f>
      </c>
      <c r="F19" s="4" t="s">
        <v>289</v>
      </c>
    </row>
    <row r="20" spans="1:6" x14ac:dyDescent="0.25">
      <c r="A20" s="4" t="s">
        <v>290</v>
      </c>
      <c r="B20" s="16">
        <f>$B$5*$B$6/$B$19</f>
      </c>
      <c r="F20" s="4" t="s">
        <v>291</v>
      </c>
    </row>
    <row r="21" spans="1:6" x14ac:dyDescent="0.25">
      <c r="A21" s="4" t="s">
        <v>292</v>
      </c>
      <c r="B21" s="22">
        <f>16/$B$20</f>
      </c>
      <c r="F21" s="4" t="s">
        <v>17</v>
      </c>
    </row>
    <row r="22" spans="1:6" x14ac:dyDescent="0.25">
      <c r="A22" s="4" t="s">
        <v>293</v>
      </c>
      <c r="B22" s="5">
        <f>$B$7*$B$5/9</f>
      </c>
      <c r="F22" s="4" t="s">
        <v>294</v>
      </c>
    </row>
    <row r="24" spans="1:1" x14ac:dyDescent="0.25">
      <c r="A24" s="17" t="s">
        <v>295</v>
      </c>
    </row>
    <row r="25" ht="30" customHeight="1" spans="1:6" x14ac:dyDescent="0.25">
      <c r="A25" s="3" t="s">
        <v>2</v>
      </c>
      <c r="B25" s="3" t="s">
        <v>296</v>
      </c>
      <c r="C25" s="3" t="s">
        <v>4</v>
      </c>
      <c r="D25" s="3" t="s">
        <v>297</v>
      </c>
      <c r="E25" s="3" t="s">
        <v>298</v>
      </c>
      <c r="F25" s="3" t="s">
        <v>299</v>
      </c>
    </row>
    <row r="26" spans="1:6" x14ac:dyDescent="0.25">
      <c r="A26" s="4" t="s">
        <v>300</v>
      </c>
      <c r="B26" s="5">
        <f>((Acero!$E$42*(Supuestos!$B$6-0.90-0.24)+479.59*Supuestos!$B$8*Supuestos!$B$7)+Supuestos!$B$25*Supuestos!$B$7*(1+Supuestos!$B$26))*$B$8</f>
      </c>
      <c r="C26" s="5">
        <f>((Acero!$E$42*(Supuestos!$B$6-0.90-0.24)+479.59*Supuestos!$B$8*Supuestos!$B$7)+Supuestos!$B$25*Supuestos!$B$7*(1+Supuestos!$B$26))*$B$8</f>
      </c>
      <c r="D26" s="5">
        <f>((Acero!$E$42*(Supuestos!$B$6-0.90-0.24)+479.59*Supuestos!$B$8*Supuestos!$B$7)+Supuestos!$B$25*Supuestos!$B$7*(1+Supuestos!$B$26))*$B$8</f>
      </c>
      <c r="E26" s="5">
        <f>((Acero!$E$42*(Supuestos!$B$6-0.90-0.24)+479.59*Supuestos!$B$8*Supuestos!$B$7)+Supuestos!$B$25*Supuestos!$B$7*(1+Supuestos!$B$26))*$B$8</f>
      </c>
      <c r="F26" s="4" t="s">
        <v>301</v>
      </c>
    </row>
    <row r="27" spans="1:6" x14ac:dyDescent="0.25">
      <c r="A27" s="4" t="s">
        <v>302</v>
      </c>
      <c r="B27" s="5">
        <f>Supuestos!$B$28*Supuestos!$B$5/Supuestos!$B$29</f>
      </c>
      <c r="C27" s="5">
        <f>Supuestos!$B$28*Supuestos!$B$5*Supuestos!$B$30</f>
      </c>
      <c r="D27" s="5">
        <f>Supuestos!$B$28*Supuestos!$B$5/Supuestos!$B$29</f>
      </c>
      <c r="E27" s="5">
        <f>Supuestos!$B$28*Supuestos!$B$5/Supuestos!$B$29</f>
      </c>
      <c r="F27" s="4" t="s">
        <v>303</v>
      </c>
    </row>
    <row r="28" spans="1:6" x14ac:dyDescent="0.25">
      <c r="A28" s="4" t="s">
        <v>304</v>
      </c>
      <c r="B28" s="5">
        <f>Supuestos!$B$28*(1+Supuestos!$B$5)*(1/$B$20-1/Supuestos!$B$29)</f>
      </c>
      <c r="C28" s="5">
        <f>0</f>
      </c>
      <c r="D28" s="5">
        <f>Supuestos!$B$28*(1+Supuestos!$B$5)*(1/$B$20-1/Supuestos!$B$29)</f>
      </c>
      <c r="E28" s="5">
        <f>Supuestos!$B$28*(1+Supuestos!$B$5)*(1/$B$20-1/Supuestos!$B$29)</f>
      </c>
      <c r="F28" s="4" t="s">
        <v>305</v>
      </c>
    </row>
    <row r="29" spans="1:6" x14ac:dyDescent="0.25">
      <c r="A29" s="4" t="s">
        <v>306</v>
      </c>
      <c r="B29" s="5">
        <f>0</f>
      </c>
      <c r="C29" s="5">
        <f>MAX(0,$B$22*(1+$B$8)*Supuestos!$B$30-((Acero!$E$42*(Supuestos!$B$6-0.90-0.24)+479.59*Supuestos!$B$8*Supuestos!$B$7)+Supuestos!$B$25*Supuestos!$B$7*(1+Supuestos!$B$26))*(1+$B$8))</f>
      </c>
      <c r="D29" s="5">
        <f>0</f>
      </c>
      <c r="E29" s="5">
        <f>0</f>
      </c>
      <c r="F29" s="4" t="s">
        <v>307</v>
      </c>
    </row>
    <row r="30" spans="1:6" x14ac:dyDescent="0.25">
      <c r="A30" s="4" t="s">
        <v>308</v>
      </c>
      <c r="B30" s="5">
        <f>$B$9/$B$20</f>
      </c>
      <c r="C30" s="5">
        <f>$B$9*Supuestos!$B$30</f>
      </c>
      <c r="D30" s="5">
        <f>$B$9/$B$20</f>
      </c>
      <c r="E30" s="5">
        <f>$B$9/$B$20</f>
      </c>
      <c r="F30" s="4" t="s">
        <v>309</v>
      </c>
    </row>
    <row r="31" spans="1:5" x14ac:dyDescent="0.25">
      <c r="A31" s="4" t="s">
        <v>310</v>
      </c>
      <c r="B31" s="5">
        <f>('Resumen piloto'!$B$13+SUM(B26:B30))*$B$10</f>
      </c>
      <c r="C31" s="5">
        <f>('Resumen piloto'!$C$13+SUM(C26:C30))*$B$10</f>
      </c>
      <c r="D31" s="5">
        <f>($B$12+SUM(D26:D30))*$B$10</f>
      </c>
      <c r="E31" s="5">
        <f>($B$13+SUM(E26:E30))*$B$10</f>
      </c>
    </row>
    <row r="32" spans="1:5" x14ac:dyDescent="0.25">
      <c r="A32" s="4" t="s">
        <v>311</v>
      </c>
      <c r="B32" s="5">
        <f>('Resumen piloto'!$B$13+SUM(B26:B30))*$B$11</f>
      </c>
      <c r="C32" s="5">
        <f>('Resumen piloto'!$C$13+SUM(C26:C30))*$B$11</f>
      </c>
      <c r="D32" s="5">
        <f>($B$12+SUM(D26:D30))*$B$11</f>
      </c>
      <c r="E32" s="5">
        <f>($B$13+SUM(E26:E30))*$B$11</f>
      </c>
    </row>
    <row r="33" spans="1:5" x14ac:dyDescent="0.25">
      <c r="A33" s="17" t="s">
        <v>312</v>
      </c>
      <c r="B33" s="5">
        <f>SUM(B26:B32)</f>
      </c>
      <c r="C33" s="5">
        <f>SUM(C26:C32)</f>
      </c>
      <c r="D33" s="5">
        <f>SUM(D26:D32)</f>
      </c>
      <c r="E33" s="5">
        <f>SUM(E26:E32)</f>
      </c>
    </row>
    <row r="34" spans="1:5" x14ac:dyDescent="0.25">
      <c r="A34" s="4" t="s">
        <v>313</v>
      </c>
      <c r="B34" s="5">
        <f>'Resumen piloto'!$B$13</f>
      </c>
      <c r="C34" s="5">
        <f>'Resumen piloto'!$C$13</f>
      </c>
      <c r="D34" s="5">
        <f>$B$12</f>
      </c>
      <c r="E34" s="5">
        <f>$B$13</f>
      </c>
    </row>
    <row r="35" spans="1:5" x14ac:dyDescent="0.25">
      <c r="A35" s="6" t="s">
        <v>314</v>
      </c>
      <c r="B35" s="7">
        <f>B33+B34</f>
      </c>
      <c r="C35" s="7">
        <f>C33+C34</f>
      </c>
      <c r="D35" s="7">
        <f>D33+D34</f>
      </c>
      <c r="E35" s="7">
        <f>E33+E34</f>
      </c>
    </row>
    <row r="36" spans="1:5" x14ac:dyDescent="0.25">
      <c r="A36" s="4" t="s">
        <v>315</v>
      </c>
      <c r="B36" s="5">
        <f>$B$14</f>
      </c>
      <c r="C36" s="5">
        <f>$B$15</f>
      </c>
      <c r="D36" s="5">
        <f>$B$16</f>
      </c>
      <c r="E36" s="5">
        <f>$B$17</f>
      </c>
    </row>
    <row r="37" spans="1:5" x14ac:dyDescent="0.25">
      <c r="A37" s="4" t="s">
        <v>316</v>
      </c>
      <c r="B37" s="26">
        <f>1-B34/B36</f>
      </c>
      <c r="C37" s="26">
        <f>1-C34/C36</f>
      </c>
      <c r="D37" s="26">
        <f>1-D34/D36</f>
      </c>
      <c r="E37" s="26">
        <f>1-E34/E36</f>
      </c>
    </row>
    <row r="38" spans="1:5" x14ac:dyDescent="0.25">
      <c r="A38" s="6" t="s">
        <v>317</v>
      </c>
      <c r="B38" s="7">
        <f>B36-B35</f>
      </c>
      <c r="C38" s="7">
        <f>C36-C35</f>
      </c>
      <c r="D38" s="7">
        <f>D36-D35</f>
      </c>
      <c r="E38" s="7">
        <f>E36-E35</f>
      </c>
    </row>
    <row r="39" spans="1:5" x14ac:dyDescent="0.25">
      <c r="A39" s="17" t="s">
        <v>318</v>
      </c>
      <c r="B39" s="27">
        <f>B38/B36</f>
      </c>
      <c r="C39" s="27">
        <f>C38/C36</f>
      </c>
      <c r="D39" s="27">
        <f>D38/D36</f>
      </c>
      <c r="E39" s="27">
        <f>E38/E36</f>
      </c>
    </row>
    <row r="41" spans="1:1" x14ac:dyDescent="0.25">
      <c r="A41" s="17" t="s">
        <v>319</v>
      </c>
    </row>
    <row r="42" ht="30" customHeight="1" spans="1:6" x14ac:dyDescent="0.25">
      <c r="A42" s="3" t="s">
        <v>320</v>
      </c>
      <c r="B42" s="3" t="s">
        <v>296</v>
      </c>
      <c r="C42" s="3" t="s">
        <v>297</v>
      </c>
      <c r="D42" s="3" t="s">
        <v>321</v>
      </c>
      <c r="E42" s="3" t="s">
        <v>322</v>
      </c>
      <c r="F42" s="3" t="s">
        <v>323</v>
      </c>
    </row>
    <row r="43" spans="1:6" x14ac:dyDescent="0.25">
      <c r="A43" s="4" t="s">
        <v>324</v>
      </c>
      <c r="B43" s="5">
        <f>B35*(1+0)</f>
      </c>
      <c r="C43" s="5">
        <f>D35*(1+0)</f>
      </c>
      <c r="D43" s="5">
        <f>(14*D35+2*E35)*(1+0)</f>
      </c>
      <c r="E43" s="5">
        <f>(14*D35+2*E35)*0</f>
      </c>
      <c r="F43" s="5">
        <f>D43-3355600</f>
      </c>
    </row>
    <row r="44" spans="1:6" x14ac:dyDescent="0.25">
      <c r="A44" s="4" t="s">
        <v>325</v>
      </c>
      <c r="B44" s="5">
        <f>B35*(1+0.05)</f>
      </c>
      <c r="C44" s="5">
        <f>D35*(1+0.05)</f>
      </c>
      <c r="D44" s="5">
        <f>(14*D35+2*E35)*(1+0.05)</f>
      </c>
      <c r="E44" s="5">
        <f>(14*D35+2*E35)*0.05</f>
      </c>
      <c r="F44" s="5">
        <f>D44-3355600</f>
      </c>
    </row>
    <row r="45" spans="1:6" x14ac:dyDescent="0.25">
      <c r="A45" s="4" t="s">
        <v>326</v>
      </c>
      <c r="B45" s="5">
        <f>B35*(1+0.08)</f>
      </c>
      <c r="C45" s="5">
        <f>D35*(1+0.08)</f>
      </c>
      <c r="D45" s="5">
        <f>(14*D35+2*E35)*(1+0.08)</f>
      </c>
      <c r="E45" s="5">
        <f>(14*D35+2*E35)*0.08</f>
      </c>
      <c r="F45" s="5">
        <f>D45-3355600</f>
      </c>
    </row>
    <row r="46" spans="1:6" x14ac:dyDescent="0.25">
      <c r="A46" s="4" t="s">
        <v>327</v>
      </c>
      <c r="B46" s="5">
        <f>B35*(1+0.1)</f>
      </c>
      <c r="C46" s="5">
        <f>D35*(1+0.1)</f>
      </c>
      <c r="D46" s="5">
        <f>(14*D35+2*E35)*(1+0.1)</f>
      </c>
      <c r="E46" s="5">
        <f>(14*D35+2*E35)*0.1</f>
      </c>
      <c r="F46" s="5">
        <f>D46-3355600</f>
      </c>
    </row>
    <row r="47" spans="1:6" x14ac:dyDescent="0.25">
      <c r="A47" s="4" t="s">
        <v>328</v>
      </c>
      <c r="B47" s="5">
        <f>B35*(1+0.12)</f>
      </c>
      <c r="C47" s="5">
        <f>D35*(1+0.12)</f>
      </c>
      <c r="D47" s="5">
        <f>(14*D35+2*E35)*(1+0.12)</f>
      </c>
      <c r="E47" s="5">
        <f>(14*D35+2*E35)*0.12</f>
      </c>
      <c r="F47" s="5">
        <f>D47-3355600</f>
      </c>
    </row>
    <row r="48" spans="1:6" x14ac:dyDescent="0.25">
      <c r="A48" s="4" t="s">
        <v>329</v>
      </c>
      <c r="B48" s="5">
        <f>B35*(1+0.15)</f>
      </c>
      <c r="C48" s="5">
        <f>D35*(1+0.15)</f>
      </c>
      <c r="D48" s="5">
        <f>(14*D35+2*E35)*(1+0.15)</f>
      </c>
      <c r="E48" s="5">
        <f>(14*D35+2*E35)*0.15</f>
      </c>
      <c r="F48" s="5">
        <f>D48-3355600</f>
      </c>
    </row>
    <row r="49" spans="1:6" x14ac:dyDescent="0.25">
      <c r="A49" s="4" t="s">
        <v>330</v>
      </c>
      <c r="B49" s="5">
        <f>B35*(1+0.21951219512195122)</f>
      </c>
      <c r="C49" s="5">
        <f>D35*(1+0.21951219512195122)</f>
      </c>
      <c r="D49" s="5">
        <f>(14*D35+2*E35)*(1+0.21951219512195122)</f>
      </c>
      <c r="E49" s="5">
        <f>(14*D35+2*E35)*0.21951219512195122</f>
      </c>
      <c r="F49" s="5">
        <f>D49-3355600</f>
      </c>
    </row>
    <row r="50" spans="1:6" x14ac:dyDescent="0.25">
      <c r="A50" s="4" t="s">
        <v>331</v>
      </c>
      <c r="B50" s="5">
        <f>B35*(1+0.25)</f>
      </c>
      <c r="C50" s="5">
        <f>D35*(1+0.25)</f>
      </c>
      <c r="D50" s="5">
        <f>(14*D35+2*E35)*(1+0.25)</f>
      </c>
      <c r="E50" s="5">
        <f>(14*D35+2*E35)*0.25</f>
      </c>
      <c r="F50" s="5">
        <f>D50-3355600</f>
      </c>
    </row>
    <row r="52" spans="1:1" x14ac:dyDescent="0.25">
      <c r="A52" s="17" t="s">
        <v>332</v>
      </c>
    </row>
    <row r="53" ht="30" customHeight="1" spans="1:6" x14ac:dyDescent="0.25">
      <c r="A53" s="3" t="s">
        <v>333</v>
      </c>
      <c r="B53" s="3" t="s">
        <v>334</v>
      </c>
      <c r="C53" s="3" t="s">
        <v>335</v>
      </c>
      <c r="D53" s="3" t="s">
        <v>336</v>
      </c>
      <c r="E53" s="3" t="s">
        <v>337</v>
      </c>
      <c r="F53" s="3" t="s">
        <v>338</v>
      </c>
    </row>
    <row r="54" spans="1:6" x14ac:dyDescent="0.25">
      <c r="A54" s="4">
        <v>6</v>
      </c>
      <c r="B54" s="16">
        <f>(6*$B$6/$B$19)</f>
      </c>
      <c r="C54" s="22">
        <f>16/(6*$B$6/$B$19)</f>
      </c>
      <c r="D54" s="5">
        <f>($B$12-Supuestos!$B$28/Supuestos!$B$29+((Acero!$E$42*(Supuestos!$B$6-0.90-0.24)+479.59*Supuestos!$B$8*Supuestos!$B$7)+Supuestos!$B$25*Supuestos!$B$7*(1+Supuestos!$B$26))*$B$8+(Supuestos!$B$28*(1+Supuestos!$B$5)+$B$9)/(6*$B$6/$B$19))*(1+$B$10+$B$11)</f>
      </c>
      <c r="E54" s="5">
        <f>$B$16-D54</f>
      </c>
      <c r="F54" s="5">
        <f>D54/0.82</f>
      </c>
    </row>
    <row r="55" spans="1:6" x14ac:dyDescent="0.25">
      <c r="A55" s="4">
        <v>9</v>
      </c>
      <c r="B55" s="16">
        <f>(9*$B$6/$B$19)</f>
      </c>
      <c r="C55" s="22">
        <f>16/(9*$B$6/$B$19)</f>
      </c>
      <c r="D55" s="5">
        <f>($B$12-Supuestos!$B$28/Supuestos!$B$29+((Acero!$E$42*(Supuestos!$B$6-0.90-0.24)+479.59*Supuestos!$B$8*Supuestos!$B$7)+Supuestos!$B$25*Supuestos!$B$7*(1+Supuestos!$B$26))*$B$8+(Supuestos!$B$28*(1+Supuestos!$B$5)+$B$9)/(9*$B$6/$B$19))*(1+$B$10+$B$11)</f>
      </c>
      <c r="E55" s="5">
        <f>$B$16-D55</f>
      </c>
      <c r="F55" s="5">
        <f>D55/0.82</f>
      </c>
    </row>
    <row r="56" spans="1:6" x14ac:dyDescent="0.25">
      <c r="A56" s="4">
        <v>12</v>
      </c>
      <c r="B56" s="16">
        <f>(12*$B$6/$B$19)</f>
      </c>
      <c r="C56" s="22">
        <f>16/(12*$B$6/$B$19)</f>
      </c>
      <c r="D56" s="5">
        <f>($B$12-Supuestos!$B$28/Supuestos!$B$29+((Acero!$E$42*(Supuestos!$B$6-0.90-0.24)+479.59*Supuestos!$B$8*Supuestos!$B$7)+Supuestos!$B$25*Supuestos!$B$7*(1+Supuestos!$B$26))*$B$8+(Supuestos!$B$28*(1+Supuestos!$B$5)+$B$9)/(12*$B$6/$B$19))*(1+$B$10+$B$11)</f>
      </c>
      <c r="E56" s="5">
        <f>$B$16-D56</f>
      </c>
      <c r="F56" s="5">
        <f>D56/0.82</f>
      </c>
    </row>
    <row r="57" spans="1:6" x14ac:dyDescent="0.25">
      <c r="A57" s="4">
        <v>15</v>
      </c>
      <c r="B57" s="16">
        <f>(15*$B$6/$B$19)</f>
      </c>
      <c r="C57" s="22">
        <f>16/(15*$B$6/$B$19)</f>
      </c>
      <c r="D57" s="5">
        <f>($B$12-Supuestos!$B$28/Supuestos!$B$29+((Acero!$E$42*(Supuestos!$B$6-0.90-0.24)+479.59*Supuestos!$B$8*Supuestos!$B$7)+Supuestos!$B$25*Supuestos!$B$7*(1+Supuestos!$B$26))*$B$8+(Supuestos!$B$28*(1+Supuestos!$B$5)+$B$9)/(15*$B$6/$B$19))*(1+$B$10+$B$11)</f>
      </c>
      <c r="E57" s="5">
        <f>$B$16-D57</f>
      </c>
      <c r="F57" s="5">
        <f>D57/0.82</f>
      </c>
    </row>
    <row r="59" spans="1:6" x14ac:dyDescent="0.25">
      <c r="A59" s="8" t="s">
        <v>21</v>
      </c>
      <c r="B59" s="8"/>
      <c r="C59" s="8"/>
      <c r="D59" s="8"/>
      <c r="E59" s="8"/>
      <c r="F59" s="8"/>
    </row>
    <row r="60" ht="30" customHeight="1" spans="1:6" x14ac:dyDescent="0.25">
      <c r="A60" s="9" t="s">
        <v>339</v>
      </c>
      <c r="B60" s="9"/>
      <c r="C60" s="9"/>
      <c r="D60" s="9"/>
      <c r="E60" s="9"/>
      <c r="F60" s="9"/>
    </row>
    <row r="61" ht="30" customHeight="1" spans="1:6" x14ac:dyDescent="0.25">
      <c r="A61" s="9" t="s">
        <v>340</v>
      </c>
      <c r="B61" s="9"/>
      <c r="C61" s="9"/>
      <c r="D61" s="9"/>
      <c r="E61" s="9"/>
      <c r="F61" s="9"/>
    </row>
    <row r="62" ht="30" customHeight="1" spans="1:6" x14ac:dyDescent="0.25">
      <c r="A62" s="9" t="s">
        <v>341</v>
      </c>
      <c r="B62" s="9"/>
      <c r="C62" s="9"/>
      <c r="D62" s="9"/>
      <c r="E62" s="9"/>
      <c r="F62" s="9"/>
    </row>
    <row r="63" ht="30" customHeight="1" spans="1:6" x14ac:dyDescent="0.25">
      <c r="A63" s="9" t="s">
        <v>342</v>
      </c>
      <c r="B63" s="9"/>
      <c r="C63" s="9"/>
      <c r="D63" s="9"/>
      <c r="E63" s="9"/>
      <c r="F63" s="9"/>
    </row>
    <row r="64" ht="30" customHeight="1" spans="1:6" x14ac:dyDescent="0.25">
      <c r="A64" s="9" t="s">
        <v>343</v>
      </c>
      <c r="B64" s="9"/>
      <c r="C64" s="9"/>
      <c r="D64" s="9"/>
      <c r="E64" s="9"/>
      <c r="F64" s="9"/>
    </row>
    <row r="65" ht="30" customHeight="1" spans="1:6" x14ac:dyDescent="0.25">
      <c r="A65" s="9" t="s">
        <v>344</v>
      </c>
      <c r="B65" s="9"/>
      <c r="C65" s="9"/>
      <c r="D65" s="9"/>
      <c r="E65" s="9"/>
      <c r="F65" s="9"/>
    </row>
  </sheetData>
  <mergeCells count="7">
    <mergeCell ref="A59:F59"/>
    <mergeCell ref="A60:F60"/>
    <mergeCell ref="A61:F61"/>
    <mergeCell ref="A62:F62"/>
    <mergeCell ref="A63:F63"/>
    <mergeCell ref="A64:F64"/>
    <mergeCell ref="A65:F65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Header>&amp;L&amp;"Arial,Bold"&amp;12rg21&amp;"Arial,Regular"&amp;8  CAPITAL&amp;R&amp;"Arial,Regular"&amp;8NÉVOLA · PILOTO MODULAR</oddHeader>
    <oddFooter>&amp;L&amp;"Arial,Regular"&amp;8USO INTERNO · NO ENVIAR AL PROMOTOR&amp;R&amp;"Arial,Regular"&amp;8Página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Resumen piloto</vt:lpstr>
      <vt:lpstr>Supuestos</vt:lpstr>
      <vt:lpstr>Módulos</vt:lpstr>
      <vt:lpstr>Acero</vt:lpstr>
      <vt:lpstr>Sistema modular</vt:lpstr>
      <vt:lpstr>Partidas iguales</vt:lpstr>
      <vt:lpstr>Ahorros por calidades</vt:lpstr>
      <vt:lpstr>Escenarios de margen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Montero</dc:creator>
  <dc:title/>
  <dc:subject/>
  <dc:description/>
  <cp:keywords/>
  <cp:category/>
  <cp:lastModifiedBy>Unknown</cp:lastModifiedBy>
  <dcterms:created xsi:type="dcterms:W3CDTF">2026-10-14T11:15:09Z</dcterms:created>
  <dcterms:modified xsi:type="dcterms:W3CDTF">2026-10-14T11:15:09Z</dcterms:modified>
</cp:coreProperties>
</file>