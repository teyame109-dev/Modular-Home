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upuestos" state="visible" r:id="rId5"/>
    <sheet sheetId="3" name="Presupuesto vivienda" state="visible" r:id="rId6"/>
  </sheets>
  <calcPr calcId="171027" fullCalcOnLoad="1"/>
</workbook>
</file>

<file path=xl/sharedStrings.xml><?xml version="1.0" encoding="utf-8"?>
<sst xmlns="http://schemas.openxmlformats.org/spreadsheetml/2006/main" count="503" uniqueCount="376">
  <si>
    <t>NÉVOLA (Guadalix de la Sierra): 16 chalets en sistema modular. Estimación de precio</t>
  </si>
  <si>
    <t>Promotor: Nido Capital. Base: dossier comercial del 22/07/2025 (planos de presentación y memoria de calidades orientativa). Precios: banco de precios Tini/DWHAI 2024, actualizado.</t>
  </si>
  <si>
    <t>Capítulo</t>
  </si>
  <si>
    <t>Pareada</t>
  </si>
  <si>
    <t>Independiente</t>
  </si>
  <si>
    <t>€/m² pareada</t>
  </si>
  <si>
    <t>% del total</t>
  </si>
  <si>
    <t>01 ESTRUCTURA METÁLICA DE MÓDULOS</t>
  </si>
  <si>
    <t>02 ENVOLVENTE: FACHADA Y MEDIANERA</t>
  </si>
  <si>
    <t>03 CUBIERTA PLANA</t>
  </si>
  <si>
    <t>04 SUELOS Y FORJADO ENTRE PLANTAS</t>
  </si>
  <si>
    <t>05 ELECTRICIDAD Y TELECOMUNICACIONES</t>
  </si>
  <si>
    <t>06 FONTANERÍA, SANEAMIENTO Y SANITARIOS</t>
  </si>
  <si>
    <t>07 CLIMATIZACIÓN, ACS Y VENTILACIÓN</t>
  </si>
  <si>
    <t>08 CARPINTERÍA EXTERIOR</t>
  </si>
  <si>
    <t>09 ACABADO EXTERIOR DE FACHADA</t>
  </si>
  <si>
    <t>10 TABIQUERÍA, TECHOS Y PINTURA</t>
  </si>
  <si>
    <t>11 PAVIMENTOS Y ESCALERA</t>
  </si>
  <si>
    <t>12 CARPINTERÍA INTERIOR</t>
  </si>
  <si>
    <t>13 TRANSPORTE, MONTAJE Y ENTREGA</t>
  </si>
  <si>
    <t>PRECIO DE FÁBRICA POR VIVIENDA</t>
  </si>
  <si>
    <t>Margen de la empresa vendedora (gastos generales + beneficio)</t>
  </si>
  <si>
    <t>PRECIO DE VENTA AL PROMOTOR: VIVIENDA PILOTO (sin IVA)</t>
  </si>
  <si>
    <t>SERIE COMPLETA: 16 VIVIENDAS</t>
  </si>
  <si>
    <t>Concepto</t>
  </si>
  <si>
    <t>Unidades</t>
  </si>
  <si>
    <t>Precio unitario</t>
  </si>
  <si>
    <t>Importe</t>
  </si>
  <si>
    <t/>
  </si>
  <si>
    <t>Viviendas pareadas</t>
  </si>
  <si>
    <t>Viviendas independientes</t>
  </si>
  <si>
    <t>TOTAL SERIE (sin IVA)</t>
  </si>
  <si>
    <t>€/m² construido medio de la serie</t>
  </si>
  <si>
    <t>Precio de serie = precio piloto con el descuento por volumen de «Supuestos». Aplicado a todo el precio: es una simplificación.</t>
  </si>
  <si>
    <t>QUÉ INCLUYE Y QUÉ NO</t>
  </si>
  <si>
    <t>INCLUYE</t>
  </si>
  <si>
    <t>Vivienda terminada en fábrica según la memoria de calidades: estructura, envolvente, cubierta, instalaciones (electricidad, fontanería, suelo radiante, aerotermia, ventilación), carpinterías, acabados y sanitarios. Transporte, grúa, montaje y limpieza.</t>
  </si>
  <si>
    <t>NO INCLUYE</t>
  </si>
  <si>
    <t>Cimentación (losa o zapatas) y soleras. Acometidas y urbanización. Terraza y jardín de planta baja, cerramientos de parcela, garaje y zonas comunes (piscina, huerto, jardín).</t>
  </si>
  <si>
    <t>Muebles de cocina (el dossier la entrega sin amueblar), electrodomésticos, piscina privada.</t>
  </si>
  <si>
    <t>Proyecto, dirección facultativa, OCT, seguro decenal, licencias, tasas, estudio geotécnico, ensayos y coordinación de seguridad y salud.</t>
  </si>
  <si>
    <t>REFERENCIA</t>
  </si>
  <si>
    <t>Obra in situ en Menorca Pino 2024 (cimentación, urbanización, acometidas y cerramiento): 89.194 € para 165 m² (≈ 541 €/m²). Solo orientativo: Menorca no es la Sierra de Madrid.</t>
  </si>
  <si>
    <t>PUNTOS A CERRAR ANTES DE ENVIAR LA OFERTA</t>
  </si>
  <si>
    <t>1. Sistema constructivo: la memoria prevé estructura de hormigón y fachadas con cámara. El promotor tiene que aceptar el cambio a módulo de acero + panel Tabihaus, y el proyecto de ejecución, el OCT y el seguro decenal tienen que admitirlo.</t>
  </si>
  <si>
    <t>2. Acero: estimado a 90 kg/m². Con dos plantas, el cálculo de estructura puede subirlo. Pedir a los soldadores el precio actual del kg soldado (en 2024 costó entre 3 y 4,9 €/kg y se vendió a 2,80).</t>
  </si>
  <si>
    <t>3. Pedir precio a Tabihaus (paneles 66, 81 y 136 mm, y 8+20+8) y a un carpintero de PVC con persiana monoblock: son las partidas más grandes después de la estructura.</t>
  </si>
  <si>
    <t>4. Medidas: ancho y fondo medidos en un plano de presentación. Confirmar con el proyecto básico y ver si los módulos de 2,67 m encajan con la distribución (salón de 28,7 m² y escalera).</t>
  </si>
  <si>
    <t>5. Ubicación de la fábrica en 2026: el transporte está calculado desde Seseña.</t>
  </si>
  <si>
    <t>NÉVOLA: chalet tipo A pasado a sistema modular (datos de partida)</t>
  </si>
  <si>
    <t>Amarillo = dato que puedes cambiar. Todo el presupuesto se recalcula a partir de esta hoja.</t>
  </si>
  <si>
    <t>Valor</t>
  </si>
  <si>
    <t>Origen / comentario</t>
  </si>
  <si>
    <t>Superficie construida planta baja (m²)</t>
  </si>
  <si>
    <t>Dossier comercial, vivienda tipo A (pág. 13)</t>
  </si>
  <si>
    <t>Superficie construida planta primera (m²)</t>
  </si>
  <si>
    <t>Dossier comercial, vivienda tipo A</t>
  </si>
  <si>
    <t>TOTAL SUPERFICIE CONSTRUIDA (m²)</t>
  </si>
  <si>
    <t>148,30 m²; con terrazas, 182,10 m²</t>
  </si>
  <si>
    <t>Superficie útil (m²)</t>
  </si>
  <si>
    <t>Suma de estancias del plano: 62,19 en planta baja + 61,52 en planta primera</t>
  </si>
  <si>
    <t>Terraza de planta primera (m²)</t>
  </si>
  <si>
    <t>La terraza de planta baja (24,48 m²) es obra in situ: queda fuera</t>
  </si>
  <si>
    <t>Ancho de la vivienda (m)</t>
  </si>
  <si>
    <t>Medido en el plano con la escala gráfica. Comprobar con el proyecto</t>
  </si>
  <si>
    <t>Fondo de la vivienda (m)</t>
  </si>
  <si>
    <t>Medido en el plano con la escala gráfica (8,0 × 9,4 ≈ 75 m² por planta)</t>
  </si>
  <si>
    <t>Módulos por planta</t>
  </si>
  <si>
    <t>Módulos de ≈2,67 m de ancho: transporte normal sin escolta</t>
  </si>
  <si>
    <t>Plantas</t>
  </si>
  <si>
    <t>Nº de módulos por vivienda</t>
  </si>
  <si>
    <t>Ancho de cada módulo (m)</t>
  </si>
  <si>
    <t>Altura exterior de módulo (m)</t>
  </si>
  <si>
    <t>Pilar de 2,55 m más vigas de suelo y techo (sistema Tini)</t>
  </si>
  <si>
    <t>Perímetro de fachada por planta (m)</t>
  </si>
  <si>
    <t>Fachada bruta, todas las caras (m²)</t>
  </si>
  <si>
    <t>% de huecos sobre fachada</t>
  </si>
  <si>
    <t>Estimado con los planos: grandes ventanales al salón y a los dormitorios</t>
  </si>
  <si>
    <t>Superficie de huecos / carpintería (m²)</t>
  </si>
  <si>
    <t>Medianera en pareados (m²)</t>
  </si>
  <si>
    <t>Lleva panel, pero no acabado exterior. Doble placa por protección contra incendios</t>
  </si>
  <si>
    <t>Ratio de acero (kg por m² construido)</t>
  </si>
  <si>
    <t>El Boalo 91 kg/m², Menorca 84, Sotopinilla 79. Dos plantas: se toma el alto</t>
  </si>
  <si>
    <t>Acero estructural (kg)</t>
  </si>
  <si>
    <t>Hasta tener el cálculo de estructura</t>
  </si>
  <si>
    <t>Tabiquería interior (m² de tabique por m² construido)</t>
  </si>
  <si>
    <t>Menorca Pino: 0,90</t>
  </si>
  <si>
    <t>Tabiquería interior (m²)</t>
  </si>
  <si>
    <t>Zonas húmedas con gres (m²)</t>
  </si>
  <si>
    <t>Cocina 8,49 + lavadero 3,98 + baños 3,65 + 3,89 + 7,12</t>
  </si>
  <si>
    <t>Escalera, superficie en planta (m²)</t>
  </si>
  <si>
    <t>2,29 + 4,66</t>
  </si>
  <si>
    <t>Tarima laminada AC5 (m²)</t>
  </si>
  <si>
    <t>Superficie útil menos zonas húmedas y escalera</t>
  </si>
  <si>
    <t>Alicatado de baños y frente de cocina (m²)</t>
  </si>
  <si>
    <t>Estimado: 2 baños × 20 m² + aseo 12 m² + cocina 4 m²</t>
  </si>
  <si>
    <t>Puertas interiores de paso</t>
  </si>
  <si>
    <t>Contadas en el plano</t>
  </si>
  <si>
    <t>Baños completos</t>
  </si>
  <si>
    <t>Baño 2 con bañera; baño principal con ducha y lavabo doble</t>
  </si>
  <si>
    <t>Aseos</t>
  </si>
  <si>
    <t>Baño 1 de planta baja, con ducha</t>
  </si>
  <si>
    <t>Canalón (m)</t>
  </si>
  <si>
    <t>Albardilla / remate de cubierta (m)</t>
  </si>
  <si>
    <t>Barandilla de vidrio, terraza de planta primera (m)</t>
  </si>
  <si>
    <t>Estimado en el plano</t>
  </si>
  <si>
    <t>Pliegues y remates de huecos (m)</t>
  </si>
  <si>
    <t>Estimado a partir de la superficie de huecos</t>
  </si>
  <si>
    <t>Rodapié (m)</t>
  </si>
  <si>
    <t>Perímetro de las estancias secas, estimado</t>
  </si>
  <si>
    <t>Actualización de precios 2024→2026 (todas las partidas)</t>
  </si>
  <si>
    <t>Costes de construcción residencial: +5,46 % en 2025 (ACR); +3,5 % interanual en abril de 2026, máximo histórico (Banco de España); energía y combustible disparados en 2026. Desde mediados de 2024 salen unos 11 puntos: se redondea a 12 %</t>
  </si>
  <si>
    <t>Horas de montaje in situ por vivienda</t>
  </si>
  <si>
    <t>Supuesto: 3 operarios × 8 días (uniones, juntas, remates, conexión de instalaciones)</t>
  </si>
  <si>
    <t>Precio hora de montaje (€/h)</t>
  </si>
  <si>
    <t>Coste completo de fábrica 2024 ≈ 40 €/h. En 2024 se vendía a 30 €/h (por debajo del coste)</t>
  </si>
  <si>
    <t>Transporte por módulo (€)</t>
  </si>
  <si>
    <t>Sotopinilla 2024: 780 €/módulo (Moreno). Guadalix: &lt;100 km de Seseña</t>
  </si>
  <si>
    <t>Grúa por vivienda (€)</t>
  </si>
  <si>
    <t>Sotopinilla 2024 (Moreno). Con 16 viviendas seguidas debería bajar</t>
  </si>
  <si>
    <t>Plano general: 01-02, 03-04, 06-07, 08-09, 11-12, 13-14 y 15-16</t>
  </si>
  <si>
    <t>Viviendas 05 y 10</t>
  </si>
  <si>
    <t>Descuento por volumen en la serie de 16</t>
  </si>
  <si>
    <t>Supuesto: compras de acero, panel y carpintería por 16 viviendas</t>
  </si>
  <si>
    <t>Margen sobre precio de fábrica (gastos generales + beneficio)</t>
  </si>
  <si>
    <t>Los precios del banco ya llevan el margen de fábrica de DWHAI. Este es el margen de la empresa que vende al promotor (Tini ponía un 35 %)</t>
  </si>
  <si>
    <t>PRESUPUESTO POR PARTIDAS: CHALET TIPO A NÉVOLA EN SISTEMA MODULAR (fabricación, transporte y montaje)</t>
  </si>
  <si>
    <t>Precio 2026 = precio base 2024 × (1 + actualización), en todas las partidas. Fondo naranja = partida sin referencia en el banco: precio base ESTIMADO, pedir oferta a proveedor.</t>
  </si>
  <si>
    <t>La cantidad «independiente» solo cambia en la medianera: la independiente tiene cuatro fachadas con acabado.</t>
  </si>
  <si>
    <t>Código</t>
  </si>
  <si>
    <t>Descripción</t>
  </si>
  <si>
    <t>Ud</t>
  </si>
  <si>
    <t>Medición</t>
  </si>
  <si>
    <t>Cant. pareada</t>
  </si>
  <si>
    <t>Cant. independiente</t>
  </si>
  <si>
    <t>Precio base 2024</t>
  </si>
  <si>
    <t>Referencia del precio</t>
  </si>
  <si>
    <t>PRECIO 2026</t>
  </si>
  <si>
    <t>Importe pareada</t>
  </si>
  <si>
    <t>Importe independiente</t>
  </si>
  <si>
    <t>01</t>
  </si>
  <si>
    <t>ESTRUCTURA METÁLICA DE MÓDULOS</t>
  </si>
  <si>
    <t>EST</t>
  </si>
  <si>
    <t>Acero S275JR en pilares, vigas, correas, refuerzos y pletinas, soldado en fábrica</t>
  </si>
  <si>
    <t>kg</t>
  </si>
  <si>
    <t>Ratio kg/m² × m² construidos</t>
  </si>
  <si>
    <t>Todos los proyectos 2024: 2,80 €/kg</t>
  </si>
  <si>
    <t>EST_PN_GIM</t>
  </si>
  <si>
    <t>Granallado e imprimación</t>
  </si>
  <si>
    <t>= acero</t>
  </si>
  <si>
    <t>Fenwick, Sotopinilla, El Boalo</t>
  </si>
  <si>
    <t>EST_PN_PPV</t>
  </si>
  <si>
    <t>Pintura de poliuretano (tratamiento C2-C3)</t>
  </si>
  <si>
    <t>Sotopinilla 0,10 · Fenwick 0,15</t>
  </si>
  <si>
    <t>EST_PL_AG</t>
  </si>
  <si>
    <t>Agarraderas de izado (4 por módulo)</t>
  </si>
  <si>
    <t>u</t>
  </si>
  <si>
    <t>4 × nº de módulos</t>
  </si>
  <si>
    <t>Fenwick, Menorca</t>
  </si>
  <si>
    <t>02</t>
  </si>
  <si>
    <t>ENVOLVENTE: FACHADA Y MEDIANERA</t>
  </si>
  <si>
    <t>FAC_SAN_TAH</t>
  </si>
  <si>
    <t>Panel sándwich Tabihaus 8+50+8 (66 mm) en fachada y medianera</t>
  </si>
  <si>
    <t>m²</t>
  </si>
  <si>
    <t>Fachada bruta − huecos</t>
  </si>
  <si>
    <t>El Boalo 75 €/m² · Menorca oct-24 82,42 €/m²</t>
  </si>
  <si>
    <t>FAC_ATR</t>
  </si>
  <si>
    <t>Aislamiento térmico reflexivo</t>
  </si>
  <si>
    <t>= panel de fachada</t>
  </si>
  <si>
    <t>Todos los proyectos</t>
  </si>
  <si>
    <t>FAC_PET80</t>
  </si>
  <si>
    <t>Aislamiento de PET reciclado de 80 mm</t>
  </si>
  <si>
    <t>FAC_U46</t>
  </si>
  <si>
    <t>Perfilería U 46 mm cada 60 cm (trasdosado interior)</t>
  </si>
  <si>
    <t>TAB_PYL13</t>
  </si>
  <si>
    <t>Placa de yeso laminado de 13 mm en trasdosado de fachada</t>
  </si>
  <si>
    <t>Banco (TAB_PYL13)</t>
  </si>
  <si>
    <t>TAB_2PLA</t>
  </si>
  <si>
    <t>Doble placa en medianera (protección contra incendios entre viviendas)</t>
  </si>
  <si>
    <t>Solo pareadas</t>
  </si>
  <si>
    <t>Menorca (TAB_2PLA)</t>
  </si>
  <si>
    <t>03</t>
  </si>
  <si>
    <t>CUBIERTA PLANA</t>
  </si>
  <si>
    <t>CUB_SAN_TAH</t>
  </si>
  <si>
    <t>Panel sándwich Tabihaus 8+65+8 (81 mm) de cubierta</t>
  </si>
  <si>
    <t>Planta primera</t>
  </si>
  <si>
    <t>El Boalo 65 · Menorca oct-24 58,37</t>
  </si>
  <si>
    <t>CUB_ATR</t>
  </si>
  <si>
    <t>= cubierta</t>
  </si>
  <si>
    <t>CUB_XPS60</t>
  </si>
  <si>
    <t>Aislamiento XPS 60 mm</t>
  </si>
  <si>
    <t>CUB_PET40</t>
  </si>
  <si>
    <t>Aislamiento de PET reciclado 40 mm</t>
  </si>
  <si>
    <t>CUB_TAB</t>
  </si>
  <si>
    <t>Impermeabilización: tela asfáltica bicapa</t>
  </si>
  <si>
    <t>CUB_GRA</t>
  </si>
  <si>
    <t>Acabado de grava en zona no transitable</t>
  </si>
  <si>
    <t>Cubierta − terraza</t>
  </si>
  <si>
    <t>ESTIMADO (no está en el banco)</t>
  </si>
  <si>
    <t>CUB_CAN</t>
  </si>
  <si>
    <t>Canalón de chapa plegada de 2 mm</t>
  </si>
  <si>
    <t>m</t>
  </si>
  <si>
    <t>Supuestos</t>
  </si>
  <si>
    <t>CUB_GAR</t>
  </si>
  <si>
    <t>Gárgola metálica con pieza de EPDM</t>
  </si>
  <si>
    <t>3 por vivienda</t>
  </si>
  <si>
    <t>CUB_ALB</t>
  </si>
  <si>
    <t>Albardilla de chapa plegada galvanizada de 2 mm</t>
  </si>
  <si>
    <t>Perímetro de cubierta</t>
  </si>
  <si>
    <t>TER_GRES</t>
  </si>
  <si>
    <t>Gres exterior antideslizante en terraza de planta primera</t>
  </si>
  <si>
    <t>Banco (PAV_SOCE, solado cerámico)</t>
  </si>
  <si>
    <t>TER_BAR</t>
  </si>
  <si>
    <t>Barandilla de vidrio de seguridad en terraza</t>
  </si>
  <si>
    <t>ESTIMADO (en el banco solo hay malla: 217,80 €/m)</t>
  </si>
  <si>
    <t>04</t>
  </si>
  <si>
    <t>SUELOS Y FORJADO ENTRE PLANTAS</t>
  </si>
  <si>
    <t>SUE_SAN_136</t>
  </si>
  <si>
    <t>Panel sándwich Tabihaus 8+120+8 (136 mm), suelo de planta baja</t>
  </si>
  <si>
    <t>Planta baja</t>
  </si>
  <si>
    <t>El Boalo 99 · Menorca oct-24 86,09</t>
  </si>
  <si>
    <t>SUE_SAN_81</t>
  </si>
  <si>
    <t>Panel sándwich Tabihaus 8+65+8, suelo de módulos de planta primera</t>
  </si>
  <si>
    <t>El Boalo (SUE 8+65+8) 65</t>
  </si>
  <si>
    <t>SUE_TEC_40</t>
  </si>
  <si>
    <t>Panel Tabihaus 8+20+8, techo de módulos de planta baja</t>
  </si>
  <si>
    <t>ESTIMADO: coste de lista 40 €/m² (Mahón) + margen</t>
  </si>
  <si>
    <t>SUE_ATR</t>
  </si>
  <si>
    <t>Aislamiento térmico reflexivo bajo forjado</t>
  </si>
  <si>
    <t>Menorca, El Boalo</t>
  </si>
  <si>
    <t>05</t>
  </si>
  <si>
    <t>ELECTRICIDAD Y TELECOMUNICACIONES</t>
  </si>
  <si>
    <t>ELE_M2</t>
  </si>
  <si>
    <t>Instalación eléctrica completa (cuadro, circuitos, mecanismos Niessen o similar, iluminación, TV y datos en estancias)</t>
  </si>
  <si>
    <t>m² construidos</t>
  </si>
  <si>
    <t>Ratio: Sotopinilla 61 €/m² · Menorca 39 €/m² (sin el error de la toma de tierras)</t>
  </si>
  <si>
    <t>ELE_POR</t>
  </si>
  <si>
    <t>Portero automático</t>
  </si>
  <si>
    <t>1</t>
  </si>
  <si>
    <t>ESTIMADO</t>
  </si>
  <si>
    <t>ELE_VE</t>
  </si>
  <si>
    <t>Preinstalación de punto de recarga de vehículo eléctrico</t>
  </si>
  <si>
    <t>06</t>
  </si>
  <si>
    <t>FONTANERÍA, SANEAMIENTO Y SANITARIOS</t>
  </si>
  <si>
    <t>BAN_INS</t>
  </si>
  <si>
    <t>Instalación completa de fontanería y saneamiento por baño o aseo</t>
  </si>
  <si>
    <t>Baños + aseo</t>
  </si>
  <si>
    <t>09TLAV</t>
  </si>
  <si>
    <t>Tomas de agua y desagüe: cocina, lavadora, secadora y pila de lavadero</t>
  </si>
  <si>
    <t>4 tomas</t>
  </si>
  <si>
    <t>Menorca (toma de lavadora)</t>
  </si>
  <si>
    <t>BAN_IMP</t>
  </si>
  <si>
    <t>Impermeabilización de plato de ducha</t>
  </si>
  <si>
    <t>2 duchas</t>
  </si>
  <si>
    <t>BAN_INO</t>
  </si>
  <si>
    <t>Inodoro de porcelana vitrificada (Gala o similar)</t>
  </si>
  <si>
    <t>3</t>
  </si>
  <si>
    <t>ESTIMADO: gama media (en 2024 se usó Tesi suspendido, 811 €)</t>
  </si>
  <si>
    <t>BAN_LAV</t>
  </si>
  <si>
    <t>Lavabo de porcelana (baño principal con lavabo doble)</t>
  </si>
  <si>
    <t>4</t>
  </si>
  <si>
    <t>Banco (Starbath)</t>
  </si>
  <si>
    <t>BAN_GRI_ETN</t>
  </si>
  <si>
    <t>Grifería monomando de lavabo</t>
  </si>
  <si>
    <t>Banco (Imex Etna)</t>
  </si>
  <si>
    <t>BAN_DUC_THA</t>
  </si>
  <si>
    <t>Conjunto de ducha monomando</t>
  </si>
  <si>
    <t>2</t>
  </si>
  <si>
    <t>Banco (Imex Thalos)</t>
  </si>
  <si>
    <t>BAN_DUC_PLA</t>
  </si>
  <si>
    <t>Plato de ducha extraplano 80×100</t>
  </si>
  <si>
    <t>Banco (BAN_DUC_PLA_80X100)</t>
  </si>
  <si>
    <t>BAN_BAN</t>
  </si>
  <si>
    <t>Bañera acrílica blanca con grifería</t>
  </si>
  <si>
    <t>BAN_MAM</t>
  </si>
  <si>
    <t>Mampara de vidrio (baño principal)</t>
  </si>
  <si>
    <t>Menorca oct-24, El Boalo</t>
  </si>
  <si>
    <t>07</t>
  </si>
  <si>
    <t>CLIMATIZACIÓN, ACS Y VENTILACIÓN</t>
  </si>
  <si>
    <t>CLI_RAD_SUE</t>
  </si>
  <si>
    <t>Suelo radiante y refrescante</t>
  </si>
  <si>
    <t>Superficie útil</t>
  </si>
  <si>
    <t>Banco (CLI_RAD_SUE)</t>
  </si>
  <si>
    <t>AER_120_150</t>
  </si>
  <si>
    <t>Aerotermia Panasonic para 120–150 m² (climatización y ACS)</t>
  </si>
  <si>
    <t>Banco (Fenwick, catálogo)</t>
  </si>
  <si>
    <t>CLI_TER</t>
  </si>
  <si>
    <t>Termostatos por estancia</t>
  </si>
  <si>
    <t>5</t>
  </si>
  <si>
    <t>Banco (CLI_TER_AAC)</t>
  </si>
  <si>
    <t>VEN_MEC</t>
  </si>
  <si>
    <t>Ventilación mecánica de simple flujo (extracción en baños y cocina, admisión en secos)</t>
  </si>
  <si>
    <t>08</t>
  </si>
  <si>
    <t>CARPINTERÍA EXTERIOR</t>
  </si>
  <si>
    <t>CAE_PVC</t>
  </si>
  <si>
    <t>Carpintería de PVC o aluminio con RPT, vidrio bajo emisivo, con persiana monoblock</t>
  </si>
  <si>
    <t>Superficie de huecos</t>
  </si>
  <si>
    <t>ESTIMADO: 400 €/m². COR-Vision 2024 ≈ 500–590 €/m² en aluminio de gama alta</t>
  </si>
  <si>
    <t>LEA010</t>
  </si>
  <si>
    <t>Puerta de entrada acorazada</t>
  </si>
  <si>
    <t>Banco (LEA010)</t>
  </si>
  <si>
    <t>ACF_PLA</t>
  </si>
  <si>
    <t>Pliegues y remates de chapa en huecos</t>
  </si>
  <si>
    <t>Menorca, Fenwick</t>
  </si>
  <si>
    <t>09</t>
  </si>
  <si>
    <t>ACABADO EXTERIOR DE FACHADA</t>
  </si>
  <si>
    <t>ACF_ENF</t>
  </si>
  <si>
    <t>Revestimiento exterior mixto: placa de cemento con acabado continuo o piezas cerámicas o metálicas</t>
  </si>
  <si>
    <t>Fachada − huecos − medianera</t>
  </si>
  <si>
    <t>Banco (ACF_ENF, Aquapanel con enfoscado). Madera 106 · Viroc 58 · minionda 46</t>
  </si>
  <si>
    <t>10</t>
  </si>
  <si>
    <t>TABIQUERÍA, TECHOS Y PINTURA</t>
  </si>
  <si>
    <t>TAB_INT</t>
  </si>
  <si>
    <t>Tabique de PYL: perfilería, PET 40 mm y placa de 13 mm por las dos caras</t>
  </si>
  <si>
    <t>Ratio × m² construidos</t>
  </si>
  <si>
    <t>Compuesto con el banco: perfil 22 + PET 10 + 2 × placa 13,56</t>
  </si>
  <si>
    <t>TAB_HID</t>
  </si>
  <si>
    <t>Suplemento de placa hidrófuga en zonas húmedas</t>
  </si>
  <si>
    <t>Alicatado + 20 %</t>
  </si>
  <si>
    <t>Diferencia hidrófuga − normal (19,03 − 13,56)</t>
  </si>
  <si>
    <t>TAB_CER</t>
  </si>
  <si>
    <t>Alicatado de gres en baños y frente de cocina</t>
  </si>
  <si>
    <t>TEC_PLA</t>
  </si>
  <si>
    <t>Techo de placa de yeso laminado de 15 mm</t>
  </si>
  <si>
    <t>TEC_PLH</t>
  </si>
  <si>
    <t>Suplemento hidrófugo en techos de zonas húmedas</t>
  </si>
  <si>
    <t>Zonas húmedas</t>
  </si>
  <si>
    <t>Diferencia hidrófuga − normal</t>
  </si>
  <si>
    <t>114PPLAS</t>
  </si>
  <si>
    <t>Pintura plástica lisa en paredes</t>
  </si>
  <si>
    <t>Tabiques × 2 caras + trasdosado de fachada − alicatado</t>
  </si>
  <si>
    <t>Menorca</t>
  </si>
  <si>
    <t>TEC_PIN_B</t>
  </si>
  <si>
    <t>Pintura blanca mate en techos</t>
  </si>
  <si>
    <t>11</t>
  </si>
  <si>
    <t>PAVIMENTOS Y ESCALERA</t>
  </si>
  <si>
    <t>PAV_LAM</t>
  </si>
  <si>
    <t>Tarima laminada sintética AC5</t>
  </si>
  <si>
    <t>ESTIMADO (en el banco solo hay roble, 78 €/m²)</t>
  </si>
  <si>
    <t>PAV_SOCE</t>
  </si>
  <si>
    <t>Solado de gres en baños, cocina y lavadero</t>
  </si>
  <si>
    <t>Banco (PAV_SOCE)</t>
  </si>
  <si>
    <t>PAV_RODMPVC</t>
  </si>
  <si>
    <t>Rodapié a juego con la carpintería interior</t>
  </si>
  <si>
    <t>ESC</t>
  </si>
  <si>
    <t>Escalera interior: estructura metálica con peldaños de gres</t>
  </si>
  <si>
    <t>ESTIMADO: coste 2024 de escalera instalada 2.275 € (Guadalajara)</t>
  </si>
  <si>
    <t>12</t>
  </si>
  <si>
    <t>CARPINTERÍA INTERIOR</t>
  </si>
  <si>
    <t>CAI_PUE_DML_1HA72</t>
  </si>
  <si>
    <t>Puerta de paso lacada lisa de 725 mm, abatible</t>
  </si>
  <si>
    <t>Banco</t>
  </si>
  <si>
    <t>CAI_ARM</t>
  </si>
  <si>
    <t>Armario empotrado de 2 puertas en distribuidor (revestido, balda y barra)</t>
  </si>
  <si>
    <t>ESTIMADO: la mitad del armario de 4 puertas de Menorca (2.866 €)</t>
  </si>
  <si>
    <t>CAI_VES</t>
  </si>
  <si>
    <t>Vestidor abierto en dormitorio principal (revestido, maletero y barra)</t>
  </si>
  <si>
    <t>13</t>
  </si>
  <si>
    <t>TRANSPORTE, MONTAJE Y ENTREGA</t>
  </si>
  <si>
    <t>TRA</t>
  </si>
  <si>
    <t>Transporte de módulos de Seseña a Guadalix de la Sierra</t>
  </si>
  <si>
    <t>Nº de módulos</t>
  </si>
  <si>
    <t>Supuestos (Sotopinilla 2024: 780 €/módulo)</t>
  </si>
  <si>
    <t>GRU</t>
  </si>
  <si>
    <t>Grúa para colocación</t>
  </si>
  <si>
    <t>1 por vivienda</t>
  </si>
  <si>
    <t>Supuestos (Sotopinilla 2024: 3.120 €)</t>
  </si>
  <si>
    <t>OPE</t>
  </si>
  <si>
    <t>Montaje in situ: uniones, juntas de fachada y cubierta, conexión de instalaciones</t>
  </si>
  <si>
    <t>h</t>
  </si>
  <si>
    <t>Supuestos (coste completo de fábrica ≈ 40 €/h)</t>
  </si>
  <si>
    <t>LIM</t>
  </si>
  <si>
    <t>Limpieza final</t>
  </si>
  <si>
    <t>PRECIO DE FÁBRICA POR VIVIENDA (fabricación + transporte + montaje)</t>
  </si>
  <si>
    <t>€/m² construido</t>
  </si>
  <si>
    <t>de ello, partidas con precio ESTIMADO (fondo naranja)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</si>
</sst>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 €;-#,##0 €;-"/>
    <numFmt numFmtId="165" formatCode="0.0%;-0.0%;-"/>
    <numFmt numFmtId="166" formatCode="#,##0.00;-#,##0.00;-"/>
    <numFmt numFmtId="167" formatCode="#,##0.00 €;-#,##0.00 €;-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color rgb="FFFFFFFF"/>
      <sz val="10"/>
      <name val="Arial"/>
    </font>
    <font>
      <color rgb="FF008000"/>
      <sz val="10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b/>
      <sz val="13"/>
      <name val="Arial"/>
    </font>
    <font>
      <color rgb="FF0000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A36"/>
      </patternFill>
    </fill>
    <fill>
      <patternFill patternType="solid">
        <fgColor rgb="FFFFFF00"/>
      </patternFill>
    </fill>
    <fill>
      <patternFill patternType="solid">
        <fgColor rgb="FFE3E8EE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2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5" fillId="3" borderId="0" xfId="0" applyFont="1" applyFill="1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2" fillId="0" borderId="0" xfId="0" applyFont="1" applyAlignment="1">
      <alignment vertical="top" wrapText="1"/>
    </xf>
    <xf numFmtId="0" fontId="8" fillId="0" borderId="0" xfId="0" applyFont="1"/>
    <xf numFmtId="166" fontId="9" fillId="3" borderId="0" xfId="0" applyNumberFormat="1" applyFont="1" applyFill="1"/>
    <xf numFmtId="166" fontId="5" fillId="0" borderId="0" xfId="0" applyNumberFormat="1" applyFont="1"/>
    <xf numFmtId="1" fontId="9" fillId="3" borderId="0" xfId="0" applyNumberFormat="1" applyFont="1" applyFill="1"/>
    <xf numFmtId="1" fontId="5" fillId="0" borderId="0" xfId="0" applyNumberFormat="1" applyFont="1"/>
    <xf numFmtId="165" fontId="9" fillId="3" borderId="0" xfId="0" applyNumberFormat="1" applyFont="1" applyFill="1"/>
    <xf numFmtId="3" fontId="5" fillId="0" borderId="0" xfId="0" applyNumberFormat="1" applyFont="1"/>
    <xf numFmtId="167" fontId="9" fillId="3" borderId="0" xfId="0" applyNumberFormat="1" applyFont="1" applyFill="1"/>
    <xf numFmtId="164" fontId="9" fillId="3" borderId="0" xfId="0" applyNumberFormat="1" applyFont="1" applyFill="1"/>
    <xf numFmtId="0" fontId="5" fillId="4" borderId="0" xfId="0" applyFont="1" applyFill="1"/>
    <xf numFmtId="166" fontId="2" fillId="0" borderId="0" xfId="0" applyNumberFormat="1" applyFont="1"/>
    <xf numFmtId="167" fontId="9" fillId="0" borderId="0" xfId="0" applyNumberFormat="1" applyFont="1"/>
    <xf numFmtId="167" fontId="2" fillId="0" borderId="0" xfId="0" applyNumberFormat="1" applyFont="1"/>
    <xf numFmtId="0" fontId="2" fillId="5" borderId="0" xfId="0" applyFont="1" applyFill="1"/>
    <xf numFmtId="0" fontId="2" fillId="5" borderId="0" xfId="0" applyFont="1" applyFill="1" applyAlignment="1">
      <alignment wrapText="1"/>
    </xf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A36"/>
  </sheetPr>
  <dimension ref="A1:E43"/>
  <sheetFormatPr defaultRowHeight="15" outlineLevelRow="0" outlineLevelCol="0" x14ac:dyDescent="55"/>
  <cols>
    <col min="1" max="1" width="50" customWidth="1"/>
    <col min="2" max="3" width="17" customWidth="1"/>
    <col min="4" max="5" width="14" customWidth="1"/>
  </cols>
  <sheetData>
    <row r="1" spans="1:1" x14ac:dyDescent="0.25">
      <c r="A1" s="1" t="s">
        <v>0</v>
      </c>
    </row>
    <row r="2" ht="28" customHeight="1" spans="1:1" x14ac:dyDescent="0.25">
      <c r="A2" s="2" t="s">
        <v>1</v>
      </c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>
        <f>'Presupuesto vivienda'!J6</f>
      </c>
      <c r="C5" s="5">
        <f>'Presupuesto vivienda'!K6</f>
      </c>
      <c r="D5" s="6">
        <f>B5/Supuestos!$B$7</f>
      </c>
      <c r="E5" s="7">
        <f>B5/B18</f>
      </c>
    </row>
    <row r="6" spans="1:5" x14ac:dyDescent="0.25">
      <c r="A6" s="4" t="s">
        <v>8</v>
      </c>
      <c r="B6" s="5">
        <f>'Presupuesto vivienda'!J11</f>
      </c>
      <c r="C6" s="5">
        <f>'Presupuesto vivienda'!K11</f>
      </c>
      <c r="D6" s="6">
        <f>B6/Supuestos!$B$7</f>
      </c>
      <c r="E6" s="7">
        <f>B6/B18</f>
      </c>
    </row>
    <row r="7" spans="1:5" x14ac:dyDescent="0.25">
      <c r="A7" s="4" t="s">
        <v>9</v>
      </c>
      <c r="B7" s="5">
        <f>'Presupuesto vivienda'!J18</f>
      </c>
      <c r="C7" s="5">
        <f>'Presupuesto vivienda'!K18</f>
      </c>
      <c r="D7" s="6">
        <f>B7/Supuestos!$B$7</f>
      </c>
      <c r="E7" s="7">
        <f>B7/B18</f>
      </c>
    </row>
    <row r="8" spans="1:5" x14ac:dyDescent="0.25">
      <c r="A8" s="4" t="s">
        <v>10</v>
      </c>
      <c r="B8" s="5">
        <f>'Presupuesto vivienda'!J30</f>
      </c>
      <c r="C8" s="5">
        <f>'Presupuesto vivienda'!K30</f>
      </c>
      <c r="D8" s="6">
        <f>B8/Supuestos!$B$7</f>
      </c>
      <c r="E8" s="7">
        <f>B8/B18</f>
      </c>
    </row>
    <row r="9" spans="1:5" x14ac:dyDescent="0.25">
      <c r="A9" s="4" t="s">
        <v>11</v>
      </c>
      <c r="B9" s="5">
        <f>'Presupuesto vivienda'!J35</f>
      </c>
      <c r="C9" s="5">
        <f>'Presupuesto vivienda'!K35</f>
      </c>
      <c r="D9" s="6">
        <f>B9/Supuestos!$B$7</f>
      </c>
      <c r="E9" s="7">
        <f>B9/B18</f>
      </c>
    </row>
    <row r="10" spans="1:5" x14ac:dyDescent="0.25">
      <c r="A10" s="4" t="s">
        <v>12</v>
      </c>
      <c r="B10" s="5">
        <f>'Presupuesto vivienda'!J39</f>
      </c>
      <c r="C10" s="5">
        <f>'Presupuesto vivienda'!K39</f>
      </c>
      <c r="D10" s="6">
        <f>B10/Supuestos!$B$7</f>
      </c>
      <c r="E10" s="7">
        <f>B10/B18</f>
      </c>
    </row>
    <row r="11" spans="1:5" x14ac:dyDescent="0.25">
      <c r="A11" s="4" t="s">
        <v>13</v>
      </c>
      <c r="B11" s="5">
        <f>'Presupuesto vivienda'!J50</f>
      </c>
      <c r="C11" s="5">
        <f>'Presupuesto vivienda'!K50</f>
      </c>
      <c r="D11" s="6">
        <f>B11/Supuestos!$B$7</f>
      </c>
      <c r="E11" s="7">
        <f>B11/B18</f>
      </c>
    </row>
    <row r="12" spans="1:5" x14ac:dyDescent="0.25">
      <c r="A12" s="4" t="s">
        <v>14</v>
      </c>
      <c r="B12" s="5">
        <f>'Presupuesto vivienda'!J55</f>
      </c>
      <c r="C12" s="5">
        <f>'Presupuesto vivienda'!K55</f>
      </c>
      <c r="D12" s="6">
        <f>B12/Supuestos!$B$7</f>
      </c>
      <c r="E12" s="7">
        <f>B12/B18</f>
      </c>
    </row>
    <row r="13" spans="1:5" x14ac:dyDescent="0.25">
      <c r="A13" s="4" t="s">
        <v>15</v>
      </c>
      <c r="B13" s="5">
        <f>'Presupuesto vivienda'!J59</f>
      </c>
      <c r="C13" s="5">
        <f>'Presupuesto vivienda'!K59</f>
      </c>
      <c r="D13" s="6">
        <f>B13/Supuestos!$B$7</f>
      </c>
      <c r="E13" s="7">
        <f>B13/B18</f>
      </c>
    </row>
    <row r="14" spans="1:5" x14ac:dyDescent="0.25">
      <c r="A14" s="4" t="s">
        <v>16</v>
      </c>
      <c r="B14" s="5">
        <f>'Presupuesto vivienda'!J61</f>
      </c>
      <c r="C14" s="5">
        <f>'Presupuesto vivienda'!K61</f>
      </c>
      <c r="D14" s="6">
        <f>B14/Supuestos!$B$7</f>
      </c>
      <c r="E14" s="7">
        <f>B14/B18</f>
      </c>
    </row>
    <row r="15" spans="1:5" x14ac:dyDescent="0.25">
      <c r="A15" s="4" t="s">
        <v>17</v>
      </c>
      <c r="B15" s="5">
        <f>'Presupuesto vivienda'!J69</f>
      </c>
      <c r="C15" s="5">
        <f>'Presupuesto vivienda'!K69</f>
      </c>
      <c r="D15" s="6">
        <f>B15/Supuestos!$B$7</f>
      </c>
      <c r="E15" s="7">
        <f>B15/B18</f>
      </c>
    </row>
    <row r="16" spans="1:5" x14ac:dyDescent="0.25">
      <c r="A16" s="4" t="s">
        <v>18</v>
      </c>
      <c r="B16" s="5">
        <f>'Presupuesto vivienda'!J74</f>
      </c>
      <c r="C16" s="5">
        <f>'Presupuesto vivienda'!K74</f>
      </c>
      <c r="D16" s="6">
        <f>B16/Supuestos!$B$7</f>
      </c>
      <c r="E16" s="7">
        <f>B16/B18</f>
      </c>
    </row>
    <row r="17" spans="1:5" x14ac:dyDescent="0.25">
      <c r="A17" s="4" t="s">
        <v>19</v>
      </c>
      <c r="B17" s="5">
        <f>'Presupuesto vivienda'!J78</f>
      </c>
      <c r="C17" s="5">
        <f>'Presupuesto vivienda'!K78</f>
      </c>
      <c r="D17" s="6">
        <f>B17/Supuestos!$B$7</f>
      </c>
      <c r="E17" s="7">
        <f>B17/B18</f>
      </c>
    </row>
    <row r="18" spans="1:4" x14ac:dyDescent="0.25">
      <c r="A18" s="8" t="s">
        <v>20</v>
      </c>
      <c r="B18" s="9">
        <f>SUM(B5:B17)</f>
      </c>
      <c r="C18" s="9">
        <f>SUM(C5:C17)</f>
      </c>
      <c r="D18" s="9">
        <f>B18/Supuestos!$B$7</f>
      </c>
    </row>
    <row r="19" spans="1:4" x14ac:dyDescent="0.25">
      <c r="A19" s="4" t="s">
        <v>21</v>
      </c>
      <c r="B19" s="6">
        <f>B18*Supuestos!$B$46</f>
      </c>
      <c r="C19" s="6">
        <f>C18*Supuestos!$B$46</f>
      </c>
      <c r="D19" s="6"/>
    </row>
    <row r="20" spans="1:4" x14ac:dyDescent="0.25">
      <c r="A20" s="10" t="s">
        <v>22</v>
      </c>
      <c r="B20" s="9">
        <f>B18+B19</f>
      </c>
      <c r="C20" s="9">
        <f>C18+C19</f>
      </c>
      <c r="D20" s="9">
        <f>B20/Supuestos!$B$7</f>
      </c>
    </row>
    <row r="22" spans="1:1" x14ac:dyDescent="0.25">
      <c r="A22" s="11" t="s">
        <v>23</v>
      </c>
    </row>
    <row r="23" ht="30" customHeight="1" spans="1:5" x14ac:dyDescent="0.25">
      <c r="A23" s="3" t="s">
        <v>24</v>
      </c>
      <c r="B23" s="3" t="s">
        <v>25</v>
      </c>
      <c r="C23" s="3" t="s">
        <v>26</v>
      </c>
      <c r="D23" s="3" t="s">
        <v>27</v>
      </c>
      <c r="E23" s="3" t="s">
        <v>28</v>
      </c>
    </row>
    <row r="24" spans="1:4" x14ac:dyDescent="0.25">
      <c r="A24" s="4" t="s">
        <v>29</v>
      </c>
      <c r="B24" s="4">
        <f>Supuestos!$B$43</f>
      </c>
      <c r="C24" s="6">
        <f>B20*(1-Supuestos!$B$45)</f>
      </c>
      <c r="D24" s="6">
        <f>B24*C24</f>
      </c>
    </row>
    <row r="25" spans="1:4" x14ac:dyDescent="0.25">
      <c r="A25" s="4" t="s">
        <v>30</v>
      </c>
      <c r="B25" s="4">
        <f>Supuestos!$B$44</f>
      </c>
      <c r="C25" s="6">
        <f>C20*(1-Supuestos!$B$45)</f>
      </c>
      <c r="D25" s="6">
        <f>B25*C25</f>
      </c>
    </row>
    <row r="26" spans="1:4" x14ac:dyDescent="0.25">
      <c r="A26" s="8" t="s">
        <v>31</v>
      </c>
      <c r="B26" s="8">
        <f>B24+B25</f>
      </c>
      <c r="C26" s="12"/>
      <c r="D26" s="9">
        <f>D24+D25</f>
      </c>
    </row>
    <row r="27" spans="1:4" x14ac:dyDescent="0.25">
      <c r="A27" s="8" t="s">
        <v>32</v>
      </c>
      <c r="B27" s="8"/>
      <c r="C27" s="12"/>
      <c r="D27" s="9">
        <f>D26/(B26*Supuestos!$B$7)</f>
      </c>
    </row>
    <row r="28" spans="1:1" x14ac:dyDescent="0.25">
      <c r="A28" s="13" t="s">
        <v>33</v>
      </c>
    </row>
    <row r="30" spans="1:1" x14ac:dyDescent="0.25">
      <c r="A30" s="11" t="s">
        <v>34</v>
      </c>
    </row>
    <row r="31" ht="42" customHeight="1" spans="1:5" x14ac:dyDescent="0.25">
      <c r="A31" s="8" t="s">
        <v>35</v>
      </c>
      <c r="B31" s="14" t="s">
        <v>36</v>
      </c>
      <c r="C31" s="14"/>
      <c r="D31" s="14"/>
      <c r="E31" s="14"/>
    </row>
    <row r="32" ht="42" customHeight="1" spans="1:5" x14ac:dyDescent="0.25">
      <c r="A32" s="8" t="s">
        <v>37</v>
      </c>
      <c r="B32" s="14" t="s">
        <v>38</v>
      </c>
      <c r="C32" s="14"/>
      <c r="D32" s="14"/>
      <c r="E32" s="14"/>
    </row>
    <row r="33" ht="42" customHeight="1" spans="1:5" x14ac:dyDescent="0.25">
      <c r="A33" s="8" t="s">
        <v>37</v>
      </c>
      <c r="B33" s="14" t="s">
        <v>39</v>
      </c>
      <c r="C33" s="14"/>
      <c r="D33" s="14"/>
      <c r="E33" s="14"/>
    </row>
    <row r="34" ht="42" customHeight="1" spans="1:5" x14ac:dyDescent="0.25">
      <c r="A34" s="8" t="s">
        <v>37</v>
      </c>
      <c r="B34" s="14" t="s">
        <v>40</v>
      </c>
      <c r="C34" s="14"/>
      <c r="D34" s="14"/>
      <c r="E34" s="14"/>
    </row>
    <row r="35" ht="42" customHeight="1" spans="1:5" x14ac:dyDescent="0.25">
      <c r="A35" s="8" t="s">
        <v>41</v>
      </c>
      <c r="B35" s="14" t="s">
        <v>42</v>
      </c>
      <c r="C35" s="14"/>
      <c r="D35" s="14"/>
      <c r="E35" s="14"/>
    </row>
    <row r="38" spans="1:1" x14ac:dyDescent="0.25">
      <c r="A38" s="11" t="s">
        <v>43</v>
      </c>
    </row>
    <row r="39" ht="30" customHeight="1" spans="1:5" x14ac:dyDescent="0.25">
      <c r="A39" s="14" t="s">
        <v>44</v>
      </c>
      <c r="B39" s="14"/>
      <c r="C39" s="14"/>
      <c r="D39" s="14"/>
      <c r="E39" s="14"/>
    </row>
    <row r="40" ht="30" customHeight="1" spans="1:5" x14ac:dyDescent="0.25">
      <c r="A40" s="14" t="s">
        <v>45</v>
      </c>
      <c r="B40" s="14"/>
      <c r="C40" s="14"/>
      <c r="D40" s="14"/>
      <c r="E40" s="14"/>
    </row>
    <row r="41" ht="30" customHeight="1" spans="1:5" x14ac:dyDescent="0.25">
      <c r="A41" s="14" t="s">
        <v>46</v>
      </c>
      <c r="B41" s="14"/>
      <c r="C41" s="14"/>
      <c r="D41" s="14"/>
      <c r="E41" s="14"/>
    </row>
    <row r="42" ht="30" customHeight="1" spans="1:5" x14ac:dyDescent="0.25">
      <c r="A42" s="14" t="s">
        <v>47</v>
      </c>
      <c r="B42" s="14"/>
      <c r="C42" s="14"/>
      <c r="D42" s="14"/>
      <c r="E42" s="14"/>
    </row>
    <row r="43" ht="30" customHeight="1" spans="1:5" x14ac:dyDescent="0.25">
      <c r="A43" s="14" t="s">
        <v>48</v>
      </c>
      <c r="B43" s="14"/>
      <c r="C43" s="14"/>
      <c r="D43" s="14"/>
      <c r="E43" s="14"/>
    </row>
  </sheetData>
  <mergeCells count="10">
    <mergeCell ref="B31:E31"/>
    <mergeCell ref="B32:E32"/>
    <mergeCell ref="B33:E33"/>
    <mergeCell ref="B34:E34"/>
    <mergeCell ref="B35:E35"/>
    <mergeCell ref="A39:E39"/>
    <mergeCell ref="A40:E40"/>
    <mergeCell ref="A41:E41"/>
    <mergeCell ref="A42:E42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46"/>
  <sheetFormatPr defaultRowHeight="15" outlineLevelRow="0" outlineLevelCol="0" x14ac:dyDescent="55"/>
  <cols>
    <col min="1" max="1" width="52" customWidth="1"/>
    <col min="2" max="2" width="14" customWidth="1"/>
    <col min="3" max="3" width="70" customWidth="1"/>
  </cols>
  <sheetData>
    <row r="1" spans="1:1" x14ac:dyDescent="0.25">
      <c r="A1" s="15" t="s">
        <v>49</v>
      </c>
    </row>
    <row r="2" spans="1:1" x14ac:dyDescent="0.25">
      <c r="A2" s="13" t="s">
        <v>50</v>
      </c>
    </row>
    <row r="4" ht="30" customHeight="1" spans="1:3" x14ac:dyDescent="0.25">
      <c r="A4" s="3" t="s">
        <v>24</v>
      </c>
      <c r="B4" s="3" t="s">
        <v>51</v>
      </c>
      <c r="C4" s="3" t="s">
        <v>52</v>
      </c>
    </row>
    <row r="5" spans="1:3" x14ac:dyDescent="0.25">
      <c r="A5" s="4" t="s">
        <v>53</v>
      </c>
      <c r="B5" s="16">
        <v>74.58</v>
      </c>
      <c r="C5" s="4" t="s">
        <v>54</v>
      </c>
    </row>
    <row r="6" spans="1:3" x14ac:dyDescent="0.25">
      <c r="A6" s="4" t="s">
        <v>55</v>
      </c>
      <c r="B6" s="16">
        <v>73.72</v>
      </c>
      <c r="C6" s="4" t="s">
        <v>56</v>
      </c>
    </row>
    <row r="7" spans="1:3" x14ac:dyDescent="0.25">
      <c r="A7" s="4" t="s">
        <v>57</v>
      </c>
      <c r="B7" s="17">
        <f>B5+B6</f>
      </c>
      <c r="C7" s="4" t="s">
        <v>58</v>
      </c>
    </row>
    <row r="8" spans="1:3" x14ac:dyDescent="0.25">
      <c r="A8" s="4" t="s">
        <v>59</v>
      </c>
      <c r="B8" s="16">
        <v>123.71</v>
      </c>
      <c r="C8" s="4" t="s">
        <v>60</v>
      </c>
    </row>
    <row r="9" spans="1:3" x14ac:dyDescent="0.25">
      <c r="A9" s="4" t="s">
        <v>61</v>
      </c>
      <c r="B9" s="16">
        <v>9.59</v>
      </c>
      <c r="C9" s="4" t="s">
        <v>62</v>
      </c>
    </row>
    <row r="10" spans="1:3" x14ac:dyDescent="0.25">
      <c r="A10" s="4" t="s">
        <v>63</v>
      </c>
      <c r="B10" s="16">
        <v>8</v>
      </c>
      <c r="C10" s="4" t="s">
        <v>64</v>
      </c>
    </row>
    <row r="11" spans="1:3" x14ac:dyDescent="0.25">
      <c r="A11" s="4" t="s">
        <v>65</v>
      </c>
      <c r="B11" s="16">
        <v>9.4</v>
      </c>
      <c r="C11" s="4" t="s">
        <v>66</v>
      </c>
    </row>
    <row r="12" spans="1:3" x14ac:dyDescent="0.25">
      <c r="A12" s="4" t="s">
        <v>67</v>
      </c>
      <c r="B12" s="18">
        <v>3</v>
      </c>
      <c r="C12" s="4" t="s">
        <v>68</v>
      </c>
    </row>
    <row r="13" spans="1:3" x14ac:dyDescent="0.25">
      <c r="A13" s="4" t="s">
        <v>69</v>
      </c>
      <c r="B13" s="18">
        <v>2</v>
      </c>
      <c r="C13" s="4" t="s">
        <v>28</v>
      </c>
    </row>
    <row r="14" spans="1:3" x14ac:dyDescent="0.25">
      <c r="A14" s="4" t="s">
        <v>70</v>
      </c>
      <c r="B14" s="19">
        <f>B12*B13</f>
      </c>
      <c r="C14" s="4" t="s">
        <v>28</v>
      </c>
    </row>
    <row r="15" spans="1:3" x14ac:dyDescent="0.25">
      <c r="A15" s="4" t="s">
        <v>71</v>
      </c>
      <c r="B15" s="17">
        <f>B10/B12</f>
      </c>
      <c r="C15" s="4" t="s">
        <v>28</v>
      </c>
    </row>
    <row r="16" spans="1:3" x14ac:dyDescent="0.25">
      <c r="A16" s="4" t="s">
        <v>72</v>
      </c>
      <c r="B16" s="16">
        <v>3</v>
      </c>
      <c r="C16" s="4" t="s">
        <v>73</v>
      </c>
    </row>
    <row r="17" spans="1:3" x14ac:dyDescent="0.25">
      <c r="A17" s="4" t="s">
        <v>74</v>
      </c>
      <c r="B17" s="17">
        <f>2*(B10+B11)</f>
      </c>
      <c r="C17" s="4" t="s">
        <v>28</v>
      </c>
    </row>
    <row r="18" spans="1:3" x14ac:dyDescent="0.25">
      <c r="A18" s="4" t="s">
        <v>75</v>
      </c>
      <c r="B18" s="17">
        <f>B17*B16*B13</f>
      </c>
      <c r="C18" s="4" t="s">
        <v>28</v>
      </c>
    </row>
    <row r="19" spans="1:3" x14ac:dyDescent="0.25">
      <c r="A19" s="4" t="s">
        <v>76</v>
      </c>
      <c r="B19" s="20">
        <v>0.17</v>
      </c>
      <c r="C19" s="4" t="s">
        <v>77</v>
      </c>
    </row>
    <row r="20" spans="1:3" x14ac:dyDescent="0.25">
      <c r="A20" s="4" t="s">
        <v>78</v>
      </c>
      <c r="B20" s="17">
        <f>B18*B19</f>
      </c>
      <c r="C20" s="4" t="s">
        <v>28</v>
      </c>
    </row>
    <row r="21" spans="1:3" x14ac:dyDescent="0.25">
      <c r="A21" s="4" t="s">
        <v>79</v>
      </c>
      <c r="B21" s="17">
        <f>B11*B16*B13</f>
      </c>
      <c r="C21" s="4" t="s">
        <v>80</v>
      </c>
    </row>
    <row r="22" spans="1:3" x14ac:dyDescent="0.25">
      <c r="A22" s="4" t="s">
        <v>81</v>
      </c>
      <c r="B22" s="18">
        <v>90</v>
      </c>
      <c r="C22" s="4" t="s">
        <v>82</v>
      </c>
    </row>
    <row r="23" spans="1:3" x14ac:dyDescent="0.25">
      <c r="A23" s="4" t="s">
        <v>83</v>
      </c>
      <c r="B23" s="21">
        <f>B22*B7</f>
      </c>
      <c r="C23" s="4" t="s">
        <v>84</v>
      </c>
    </row>
    <row r="24" spans="1:3" x14ac:dyDescent="0.25">
      <c r="A24" s="4" t="s">
        <v>85</v>
      </c>
      <c r="B24" s="16">
        <v>0.9</v>
      </c>
      <c r="C24" s="4" t="s">
        <v>86</v>
      </c>
    </row>
    <row r="25" spans="1:3" x14ac:dyDescent="0.25">
      <c r="A25" s="4" t="s">
        <v>87</v>
      </c>
      <c r="B25" s="17">
        <f>B24*B7</f>
      </c>
      <c r="C25" s="4" t="s">
        <v>28</v>
      </c>
    </row>
    <row r="26" spans="1:3" x14ac:dyDescent="0.25">
      <c r="A26" s="4" t="s">
        <v>88</v>
      </c>
      <c r="B26" s="16">
        <v>27.13</v>
      </c>
      <c r="C26" s="4" t="s">
        <v>89</v>
      </c>
    </row>
    <row r="27" spans="1:3" x14ac:dyDescent="0.25">
      <c r="A27" s="4" t="s">
        <v>90</v>
      </c>
      <c r="B27" s="16">
        <v>6.95</v>
      </c>
      <c r="C27" s="4" t="s">
        <v>91</v>
      </c>
    </row>
    <row r="28" spans="1:3" x14ac:dyDescent="0.25">
      <c r="A28" s="4" t="s">
        <v>92</v>
      </c>
      <c r="B28" s="17">
        <f>B8-B26-B27</f>
      </c>
      <c r="C28" s="4" t="s">
        <v>93</v>
      </c>
    </row>
    <row r="29" spans="1:3" x14ac:dyDescent="0.25">
      <c r="A29" s="4" t="s">
        <v>94</v>
      </c>
      <c r="B29" s="16">
        <v>56</v>
      </c>
      <c r="C29" s="4" t="s">
        <v>95</v>
      </c>
    </row>
    <row r="30" spans="1:3" x14ac:dyDescent="0.25">
      <c r="A30" s="4" t="s">
        <v>96</v>
      </c>
      <c r="B30" s="18">
        <v>10</v>
      </c>
      <c r="C30" s="4" t="s">
        <v>97</v>
      </c>
    </row>
    <row r="31" spans="1:3" x14ac:dyDescent="0.25">
      <c r="A31" s="4" t="s">
        <v>98</v>
      </c>
      <c r="B31" s="18">
        <v>2</v>
      </c>
      <c r="C31" s="4" t="s">
        <v>99</v>
      </c>
    </row>
    <row r="32" spans="1:3" x14ac:dyDescent="0.25">
      <c r="A32" s="4" t="s">
        <v>100</v>
      </c>
      <c r="B32" s="18">
        <v>1</v>
      </c>
      <c r="C32" s="4" t="s">
        <v>101</v>
      </c>
    </row>
    <row r="33" spans="1:3" x14ac:dyDescent="0.25">
      <c r="A33" s="4" t="s">
        <v>102</v>
      </c>
      <c r="B33" s="17">
        <f>B10*2</f>
      </c>
      <c r="C33" s="4" t="s">
        <v>28</v>
      </c>
    </row>
    <row r="34" spans="1:3" x14ac:dyDescent="0.25">
      <c r="A34" s="4" t="s">
        <v>103</v>
      </c>
      <c r="B34" s="17">
        <f>B17</f>
      </c>
      <c r="C34" s="4" t="s">
        <v>28</v>
      </c>
    </row>
    <row r="35" spans="1:3" x14ac:dyDescent="0.25">
      <c r="A35" s="4" t="s">
        <v>104</v>
      </c>
      <c r="B35" s="16">
        <v>8</v>
      </c>
      <c r="C35" s="4" t="s">
        <v>105</v>
      </c>
    </row>
    <row r="36" spans="1:3" x14ac:dyDescent="0.25">
      <c r="A36" s="4" t="s">
        <v>106</v>
      </c>
      <c r="B36" s="16">
        <v>60</v>
      </c>
      <c r="C36" s="4" t="s">
        <v>107</v>
      </c>
    </row>
    <row r="37" spans="1:3" x14ac:dyDescent="0.25">
      <c r="A37" s="4" t="s">
        <v>108</v>
      </c>
      <c r="B37" s="16">
        <v>110</v>
      </c>
      <c r="C37" s="4" t="s">
        <v>109</v>
      </c>
    </row>
    <row r="38" spans="1:3" x14ac:dyDescent="0.25">
      <c r="A38" s="4" t="s">
        <v>110</v>
      </c>
      <c r="B38" s="20">
        <v>0.12</v>
      </c>
      <c r="C38" s="4" t="s">
        <v>111</v>
      </c>
    </row>
    <row r="39" spans="1:3" x14ac:dyDescent="0.25">
      <c r="A39" s="4" t="s">
        <v>112</v>
      </c>
      <c r="B39" s="18">
        <v>192</v>
      </c>
      <c r="C39" s="4" t="s">
        <v>113</v>
      </c>
    </row>
    <row r="40" spans="1:3" x14ac:dyDescent="0.25">
      <c r="A40" s="4" t="s">
        <v>114</v>
      </c>
      <c r="B40" s="22">
        <v>40</v>
      </c>
      <c r="C40" s="4" t="s">
        <v>115</v>
      </c>
    </row>
    <row r="41" spans="1:3" x14ac:dyDescent="0.25">
      <c r="A41" s="4" t="s">
        <v>116</v>
      </c>
      <c r="B41" s="23">
        <v>900</v>
      </c>
      <c r="C41" s="4" t="s">
        <v>117</v>
      </c>
    </row>
    <row r="42" spans="1:3" x14ac:dyDescent="0.25">
      <c r="A42" s="4" t="s">
        <v>118</v>
      </c>
      <c r="B42" s="23">
        <v>3120</v>
      </c>
      <c r="C42" s="4" t="s">
        <v>119</v>
      </c>
    </row>
    <row r="43" spans="1:3" x14ac:dyDescent="0.25">
      <c r="A43" s="4" t="s">
        <v>29</v>
      </c>
      <c r="B43" s="18">
        <v>14</v>
      </c>
      <c r="C43" s="4" t="s">
        <v>120</v>
      </c>
    </row>
    <row r="44" spans="1:3" x14ac:dyDescent="0.25">
      <c r="A44" s="4" t="s">
        <v>30</v>
      </c>
      <c r="B44" s="18">
        <v>2</v>
      </c>
      <c r="C44" s="4" t="s">
        <v>121</v>
      </c>
    </row>
    <row r="45" spans="1:3" x14ac:dyDescent="0.25">
      <c r="A45" s="4" t="s">
        <v>122</v>
      </c>
      <c r="B45" s="20">
        <v>0.06</v>
      </c>
      <c r="C45" s="4" t="s">
        <v>123</v>
      </c>
    </row>
    <row r="46" spans="1:3" x14ac:dyDescent="0.25">
      <c r="A46" s="4" t="s">
        <v>124</v>
      </c>
      <c r="B46" s="20">
        <v>0.12</v>
      </c>
      <c r="C46" s="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60" customWidth="1"/>
    <col min="3" max="3" width="6" customWidth="1"/>
    <col min="4" max="4" width="40" customWidth="1"/>
    <col min="5" max="6" width="12" customWidth="1"/>
    <col min="7" max="7" width="13" customWidth="1"/>
    <col min="8" max="8" width="44" customWidth="1"/>
    <col min="9" max="9" width="13" customWidth="1"/>
    <col min="10" max="11" width="15" customWidth="1"/>
  </cols>
  <sheetData>
    <row r="1" spans="1:1" x14ac:dyDescent="0.25">
      <c r="A1" s="15" t="s">
        <v>126</v>
      </c>
    </row>
    <row r="2" spans="1:1" x14ac:dyDescent="0.25">
      <c r="A2" s="13" t="s">
        <v>127</v>
      </c>
    </row>
    <row r="3" spans="1:1" x14ac:dyDescent="0.25">
      <c r="A3" s="13" t="s">
        <v>128</v>
      </c>
    </row>
    <row r="5" ht="30" customHeight="1" spans="1:11" x14ac:dyDescent="0.25">
      <c r="A5" s="3" t="s">
        <v>129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3" t="s">
        <v>138</v>
      </c>
      <c r="K5" s="3" t="s">
        <v>139</v>
      </c>
    </row>
    <row r="6" spans="1:11" x14ac:dyDescent="0.25">
      <c r="A6" s="24" t="s">
        <v>140</v>
      </c>
      <c r="B6" s="24" t="s">
        <v>141</v>
      </c>
      <c r="J6" s="6">
        <f>SUM(J7:J10)</f>
      </c>
      <c r="K6" s="6">
        <f>SUM(K7:K10)</f>
      </c>
    </row>
    <row r="7" spans="1:11" x14ac:dyDescent="0.25">
      <c r="A7" s="4" t="s">
        <v>142</v>
      </c>
      <c r="B7" s="2" t="s">
        <v>143</v>
      </c>
      <c r="C7" s="4" t="s">
        <v>144</v>
      </c>
      <c r="D7" s="4" t="s">
        <v>145</v>
      </c>
      <c r="E7" s="25">
        <f>Supuestos!$B$23</f>
      </c>
      <c r="F7" s="25">
        <f>E7</f>
      </c>
      <c r="G7" s="26">
        <v>2.8</v>
      </c>
      <c r="H7" s="2" t="s">
        <v>146</v>
      </c>
      <c r="I7" s="27">
        <f>G7*(1+Supuestos!$B$38)</f>
      </c>
      <c r="J7" s="27">
        <f>E7*I7</f>
      </c>
      <c r="K7" s="27">
        <f>F7*I7</f>
      </c>
    </row>
    <row r="8" spans="1:11" x14ac:dyDescent="0.25">
      <c r="A8" s="4" t="s">
        <v>147</v>
      </c>
      <c r="B8" s="2" t="s">
        <v>148</v>
      </c>
      <c r="C8" s="4" t="s">
        <v>144</v>
      </c>
      <c r="D8" s="4" t="s">
        <v>149</v>
      </c>
      <c r="E8" s="25">
        <f>Supuestos!$B$23</f>
      </c>
      <c r="F8" s="25">
        <f>E8</f>
      </c>
      <c r="G8" s="26">
        <v>0.11</v>
      </c>
      <c r="H8" s="2" t="s">
        <v>150</v>
      </c>
      <c r="I8" s="27">
        <f>G8*(1+Supuestos!$B$38)</f>
      </c>
      <c r="J8" s="27">
        <f>E8*I8</f>
      </c>
      <c r="K8" s="27">
        <f>F8*I8</f>
      </c>
    </row>
    <row r="9" spans="1:11" x14ac:dyDescent="0.25">
      <c r="A9" s="4" t="s">
        <v>151</v>
      </c>
      <c r="B9" s="2" t="s">
        <v>152</v>
      </c>
      <c r="C9" s="4" t="s">
        <v>144</v>
      </c>
      <c r="D9" s="4" t="s">
        <v>149</v>
      </c>
      <c r="E9" s="25">
        <f>Supuestos!$B$23</f>
      </c>
      <c r="F9" s="25">
        <f>E9</f>
      </c>
      <c r="G9" s="26">
        <v>0.1</v>
      </c>
      <c r="H9" s="2" t="s">
        <v>153</v>
      </c>
      <c r="I9" s="27">
        <f>G9*(1+Supuestos!$B$38)</f>
      </c>
      <c r="J9" s="27">
        <f>E9*I9</f>
      </c>
      <c r="K9" s="27">
        <f>F9*I9</f>
      </c>
    </row>
    <row r="10" spans="1:11" x14ac:dyDescent="0.25">
      <c r="A10" s="4" t="s">
        <v>154</v>
      </c>
      <c r="B10" s="2" t="s">
        <v>155</v>
      </c>
      <c r="C10" s="4" t="s">
        <v>156</v>
      </c>
      <c r="D10" s="4" t="s">
        <v>157</v>
      </c>
      <c r="E10" s="25">
        <f>4*Supuestos!$B$14</f>
      </c>
      <c r="F10" s="25">
        <f>E10</f>
      </c>
      <c r="G10" s="26">
        <v>4.48</v>
      </c>
      <c r="H10" s="2" t="s">
        <v>158</v>
      </c>
      <c r="I10" s="27">
        <f>G10*(1+Supuestos!$B$38)</f>
      </c>
      <c r="J10" s="27">
        <f>E10*I10</f>
      </c>
      <c r="K10" s="27">
        <f>F10*I10</f>
      </c>
    </row>
    <row r="11" spans="1:11" x14ac:dyDescent="0.25">
      <c r="A11" s="24" t="s">
        <v>159</v>
      </c>
      <c r="B11" s="24" t="s">
        <v>160</v>
      </c>
      <c r="J11" s="6">
        <f>SUM(J12:J17)</f>
      </c>
      <c r="K11" s="6">
        <f>SUM(K12:K17)</f>
      </c>
    </row>
    <row r="12" spans="1:11" x14ac:dyDescent="0.25">
      <c r="A12" s="4" t="s">
        <v>161</v>
      </c>
      <c r="B12" s="2" t="s">
        <v>162</v>
      </c>
      <c r="C12" s="4" t="s">
        <v>163</v>
      </c>
      <c r="D12" s="4" t="s">
        <v>164</v>
      </c>
      <c r="E12" s="25">
        <f>(Supuestos!$B$18-Supuestos!$B$20)</f>
      </c>
      <c r="F12" s="25">
        <f>E12</f>
      </c>
      <c r="G12" s="26">
        <v>75</v>
      </c>
      <c r="H12" s="2" t="s">
        <v>165</v>
      </c>
      <c r="I12" s="27">
        <f>G12*(1+Supuestos!$B$38)</f>
      </c>
      <c r="J12" s="27">
        <f>E12*I12</f>
      </c>
      <c r="K12" s="27">
        <f>F12*I12</f>
      </c>
    </row>
    <row r="13" spans="1:11" x14ac:dyDescent="0.25">
      <c r="A13" s="4" t="s">
        <v>166</v>
      </c>
      <c r="B13" s="2" t="s">
        <v>167</v>
      </c>
      <c r="C13" s="4" t="s">
        <v>163</v>
      </c>
      <c r="D13" s="4" t="s">
        <v>168</v>
      </c>
      <c r="E13" s="25">
        <f>(Supuestos!$B$18-Supuestos!$B$20)</f>
      </c>
      <c r="F13" s="25">
        <f>E13</f>
      </c>
      <c r="G13" s="26">
        <v>11.25</v>
      </c>
      <c r="H13" s="2" t="s">
        <v>169</v>
      </c>
      <c r="I13" s="27">
        <f>G13*(1+Supuestos!$B$38)</f>
      </c>
      <c r="J13" s="27">
        <f>E13*I13</f>
      </c>
      <c r="K13" s="27">
        <f>F13*I13</f>
      </c>
    </row>
    <row r="14" spans="1:11" x14ac:dyDescent="0.25">
      <c r="A14" s="4" t="s">
        <v>170</v>
      </c>
      <c r="B14" s="2" t="s">
        <v>171</v>
      </c>
      <c r="C14" s="4" t="s">
        <v>163</v>
      </c>
      <c r="D14" s="4" t="s">
        <v>168</v>
      </c>
      <c r="E14" s="25">
        <f>(Supuestos!$B$18-Supuestos!$B$20)</f>
      </c>
      <c r="F14" s="25">
        <f>E14</f>
      </c>
      <c r="G14" s="26">
        <v>15.7</v>
      </c>
      <c r="H14" s="2" t="s">
        <v>169</v>
      </c>
      <c r="I14" s="27">
        <f>G14*(1+Supuestos!$B$38)</f>
      </c>
      <c r="J14" s="27">
        <f>E14*I14</f>
      </c>
      <c r="K14" s="27">
        <f>F14*I14</f>
      </c>
    </row>
    <row r="15" spans="1:11" x14ac:dyDescent="0.25">
      <c r="A15" s="4" t="s">
        <v>172</v>
      </c>
      <c r="B15" s="2" t="s">
        <v>173</v>
      </c>
      <c r="C15" s="4" t="s">
        <v>163</v>
      </c>
      <c r="D15" s="4" t="s">
        <v>168</v>
      </c>
      <c r="E15" s="25">
        <f>(Supuestos!$B$18-Supuestos!$B$20)</f>
      </c>
      <c r="F15" s="25">
        <f>E15</f>
      </c>
      <c r="G15" s="26">
        <v>22</v>
      </c>
      <c r="H15" s="2" t="s">
        <v>169</v>
      </c>
      <c r="I15" s="27">
        <f>G15*(1+Supuestos!$B$38)</f>
      </c>
      <c r="J15" s="27">
        <f>E15*I15</f>
      </c>
      <c r="K15" s="27">
        <f>F15*I15</f>
      </c>
    </row>
    <row r="16" spans="1:11" x14ac:dyDescent="0.25">
      <c r="A16" s="4" t="s">
        <v>174</v>
      </c>
      <c r="B16" s="2" t="s">
        <v>175</v>
      </c>
      <c r="C16" s="4" t="s">
        <v>163</v>
      </c>
      <c r="D16" s="4" t="s">
        <v>168</v>
      </c>
      <c r="E16" s="25">
        <f>(Supuestos!$B$18-Supuestos!$B$20)</f>
      </c>
      <c r="F16" s="25">
        <f>E16</f>
      </c>
      <c r="G16" s="26">
        <v>13.56</v>
      </c>
      <c r="H16" s="2" t="s">
        <v>176</v>
      </c>
      <c r="I16" s="27">
        <f>G16*(1+Supuestos!$B$38)</f>
      </c>
      <c r="J16" s="27">
        <f>E16*I16</f>
      </c>
      <c r="K16" s="27">
        <f>F16*I16</f>
      </c>
    </row>
    <row r="17" spans="1:11" x14ac:dyDescent="0.25">
      <c r="A17" s="4" t="s">
        <v>177</v>
      </c>
      <c r="B17" s="2" t="s">
        <v>178</v>
      </c>
      <c r="C17" s="4" t="s">
        <v>163</v>
      </c>
      <c r="D17" s="4" t="s">
        <v>179</v>
      </c>
      <c r="E17" s="25">
        <f>Supuestos!$B$21</f>
      </c>
      <c r="F17" s="25">
        <f>0</f>
      </c>
      <c r="G17" s="26">
        <v>27.12</v>
      </c>
      <c r="H17" s="2" t="s">
        <v>180</v>
      </c>
      <c r="I17" s="27">
        <f>G17*(1+Supuestos!$B$38)</f>
      </c>
      <c r="J17" s="27">
        <f>E17*I17</f>
      </c>
      <c r="K17" s="27">
        <f>F17*I17</f>
      </c>
    </row>
    <row r="18" spans="1:11" x14ac:dyDescent="0.25">
      <c r="A18" s="24" t="s">
        <v>181</v>
      </c>
      <c r="B18" s="24" t="s">
        <v>182</v>
      </c>
      <c r="J18" s="6">
        <f>SUM(J19:J29)</f>
      </c>
      <c r="K18" s="6">
        <f>SUM(K19:K29)</f>
      </c>
    </row>
    <row r="19" spans="1:11" x14ac:dyDescent="0.25">
      <c r="A19" s="4" t="s">
        <v>183</v>
      </c>
      <c r="B19" s="2" t="s">
        <v>184</v>
      </c>
      <c r="C19" s="4" t="s">
        <v>163</v>
      </c>
      <c r="D19" s="4" t="s">
        <v>185</v>
      </c>
      <c r="E19" s="25">
        <f>Supuestos!$B$6</f>
      </c>
      <c r="F19" s="25">
        <f>E19</f>
      </c>
      <c r="G19" s="26">
        <v>65</v>
      </c>
      <c r="H19" s="2" t="s">
        <v>186</v>
      </c>
      <c r="I19" s="27">
        <f>G19*(1+Supuestos!$B$38)</f>
      </c>
      <c r="J19" s="27">
        <f>E19*I19</f>
      </c>
      <c r="K19" s="27">
        <f>F19*I19</f>
      </c>
    </row>
    <row r="20" spans="1:11" x14ac:dyDescent="0.25">
      <c r="A20" s="4" t="s">
        <v>187</v>
      </c>
      <c r="B20" s="2" t="s">
        <v>167</v>
      </c>
      <c r="C20" s="4" t="s">
        <v>163</v>
      </c>
      <c r="D20" s="4" t="s">
        <v>188</v>
      </c>
      <c r="E20" s="25">
        <f>Supuestos!$B$6</f>
      </c>
      <c r="F20" s="25">
        <f>E20</f>
      </c>
      <c r="G20" s="26">
        <v>11.25</v>
      </c>
      <c r="H20" s="2" t="s">
        <v>169</v>
      </c>
      <c r="I20" s="27">
        <f>G20*(1+Supuestos!$B$38)</f>
      </c>
      <c r="J20" s="27">
        <f>E20*I20</f>
      </c>
      <c r="K20" s="27">
        <f>F20*I20</f>
      </c>
    </row>
    <row r="21" spans="1:11" x14ac:dyDescent="0.25">
      <c r="A21" s="4" t="s">
        <v>189</v>
      </c>
      <c r="B21" s="2" t="s">
        <v>190</v>
      </c>
      <c r="C21" s="4" t="s">
        <v>163</v>
      </c>
      <c r="D21" s="4" t="s">
        <v>188</v>
      </c>
      <c r="E21" s="25">
        <f>Supuestos!$B$6</f>
      </c>
      <c r="F21" s="25">
        <f>E21</f>
      </c>
      <c r="G21" s="26">
        <v>10</v>
      </c>
      <c r="H21" s="2" t="s">
        <v>169</v>
      </c>
      <c r="I21" s="27">
        <f>G21*(1+Supuestos!$B$38)</f>
      </c>
      <c r="J21" s="27">
        <f>E21*I21</f>
      </c>
      <c r="K21" s="27">
        <f>F21*I21</f>
      </c>
    </row>
    <row r="22" spans="1:11" x14ac:dyDescent="0.25">
      <c r="A22" s="4" t="s">
        <v>191</v>
      </c>
      <c r="B22" s="2" t="s">
        <v>192</v>
      </c>
      <c r="C22" s="4" t="s">
        <v>163</v>
      </c>
      <c r="D22" s="4" t="s">
        <v>188</v>
      </c>
      <c r="E22" s="25">
        <f>Supuestos!$B$6</f>
      </c>
      <c r="F22" s="25">
        <f>E22</f>
      </c>
      <c r="G22" s="26">
        <v>10</v>
      </c>
      <c r="H22" s="2" t="s">
        <v>169</v>
      </c>
      <c r="I22" s="27">
        <f>G22*(1+Supuestos!$B$38)</f>
      </c>
      <c r="J22" s="27">
        <f>E22*I22</f>
      </c>
      <c r="K22" s="27">
        <f>F22*I22</f>
      </c>
    </row>
    <row r="23" spans="1:11" x14ac:dyDescent="0.25">
      <c r="A23" s="4" t="s">
        <v>193</v>
      </c>
      <c r="B23" s="2" t="s">
        <v>194</v>
      </c>
      <c r="C23" s="4" t="s">
        <v>163</v>
      </c>
      <c r="D23" s="4" t="s">
        <v>188</v>
      </c>
      <c r="E23" s="25">
        <f>Supuestos!$B$6</f>
      </c>
      <c r="F23" s="25">
        <f>E23</f>
      </c>
      <c r="G23" s="26">
        <v>36</v>
      </c>
      <c r="H23" s="2" t="s">
        <v>169</v>
      </c>
      <c r="I23" s="27">
        <f>G23*(1+Supuestos!$B$38)</f>
      </c>
      <c r="J23" s="27">
        <f>E23*I23</f>
      </c>
      <c r="K23" s="27">
        <f>F23*I23</f>
      </c>
    </row>
    <row r="24" spans="1:11" x14ac:dyDescent="0.25">
      <c r="A24" s="28" t="s">
        <v>195</v>
      </c>
      <c r="B24" s="29" t="s">
        <v>196</v>
      </c>
      <c r="C24" s="28" t="s">
        <v>163</v>
      </c>
      <c r="D24" s="28" t="s">
        <v>197</v>
      </c>
      <c r="E24" s="25">
        <f>Supuestos!$B$6-Supuestos!$B$9</f>
      </c>
      <c r="F24" s="25">
        <f>E24</f>
      </c>
      <c r="G24" s="22">
        <v>12</v>
      </c>
      <c r="H24" s="29" t="s">
        <v>198</v>
      </c>
      <c r="I24" s="27">
        <f>G24*(1+Supuestos!$B$38)</f>
      </c>
      <c r="J24" s="27">
        <f>E24*I24</f>
      </c>
      <c r="K24" s="27">
        <f>F24*I24</f>
      </c>
    </row>
    <row r="25" spans="1:11" x14ac:dyDescent="0.25">
      <c r="A25" s="4" t="s">
        <v>199</v>
      </c>
      <c r="B25" s="2" t="s">
        <v>200</v>
      </c>
      <c r="C25" s="4" t="s">
        <v>201</v>
      </c>
      <c r="D25" s="4" t="s">
        <v>202</v>
      </c>
      <c r="E25" s="25">
        <f>Supuestos!$B$33</f>
      </c>
      <c r="F25" s="25">
        <f>E25</f>
      </c>
      <c r="G25" s="26">
        <v>38</v>
      </c>
      <c r="H25" s="2" t="s">
        <v>169</v>
      </c>
      <c r="I25" s="27">
        <f>G25*(1+Supuestos!$B$38)</f>
      </c>
      <c r="J25" s="27">
        <f>E25*I25</f>
      </c>
      <c r="K25" s="27">
        <f>F25*I25</f>
      </c>
    </row>
    <row r="26" spans="1:11" x14ac:dyDescent="0.25">
      <c r="A26" s="4" t="s">
        <v>203</v>
      </c>
      <c r="B26" s="2" t="s">
        <v>204</v>
      </c>
      <c r="C26" s="4" t="s">
        <v>156</v>
      </c>
      <c r="D26" s="4" t="s">
        <v>205</v>
      </c>
      <c r="E26" s="25">
        <f>3</f>
      </c>
      <c r="F26" s="25">
        <f>E26</f>
      </c>
      <c r="G26" s="26">
        <v>52</v>
      </c>
      <c r="H26" s="2" t="s">
        <v>169</v>
      </c>
      <c r="I26" s="27">
        <f>G26*(1+Supuestos!$B$38)</f>
      </c>
      <c r="J26" s="27">
        <f>E26*I26</f>
      </c>
      <c r="K26" s="27">
        <f>F26*I26</f>
      </c>
    </row>
    <row r="27" spans="1:11" x14ac:dyDescent="0.25">
      <c r="A27" s="4" t="s">
        <v>206</v>
      </c>
      <c r="B27" s="2" t="s">
        <v>207</v>
      </c>
      <c r="C27" s="4" t="s">
        <v>201</v>
      </c>
      <c r="D27" s="4" t="s">
        <v>208</v>
      </c>
      <c r="E27" s="25">
        <f>Supuestos!$B$34</f>
      </c>
      <c r="F27" s="25">
        <f>E27</f>
      </c>
      <c r="G27" s="26">
        <v>25.05</v>
      </c>
      <c r="H27" s="2" t="s">
        <v>169</v>
      </c>
      <c r="I27" s="27">
        <f>G27*(1+Supuestos!$B$38)</f>
      </c>
      <c r="J27" s="27">
        <f>E27*I27</f>
      </c>
      <c r="K27" s="27">
        <f>F27*I27</f>
      </c>
    </row>
    <row r="28" spans="1:11" x14ac:dyDescent="0.25">
      <c r="A28" s="4" t="s">
        <v>209</v>
      </c>
      <c r="B28" s="2" t="s">
        <v>210</v>
      </c>
      <c r="C28" s="4" t="s">
        <v>163</v>
      </c>
      <c r="D28" s="4" t="s">
        <v>202</v>
      </c>
      <c r="E28" s="25">
        <f>Supuestos!$B$9</f>
      </c>
      <c r="F28" s="25">
        <f>E28</f>
      </c>
      <c r="G28" s="26">
        <v>45</v>
      </c>
      <c r="H28" s="2" t="s">
        <v>211</v>
      </c>
      <c r="I28" s="27">
        <f>G28*(1+Supuestos!$B$38)</f>
      </c>
      <c r="J28" s="27">
        <f>E28*I28</f>
      </c>
      <c r="K28" s="27">
        <f>F28*I28</f>
      </c>
    </row>
    <row r="29" spans="1:11" x14ac:dyDescent="0.25">
      <c r="A29" s="28" t="s">
        <v>212</v>
      </c>
      <c r="B29" s="29" t="s">
        <v>213</v>
      </c>
      <c r="C29" s="28" t="s">
        <v>201</v>
      </c>
      <c r="D29" s="28" t="s">
        <v>202</v>
      </c>
      <c r="E29" s="25">
        <f>Supuestos!$B$35</f>
      </c>
      <c r="F29" s="25">
        <f>E29</f>
      </c>
      <c r="G29" s="22">
        <v>350</v>
      </c>
      <c r="H29" s="29" t="s">
        <v>214</v>
      </c>
      <c r="I29" s="27">
        <f>G29*(1+Supuestos!$B$38)</f>
      </c>
      <c r="J29" s="27">
        <f>E29*I29</f>
      </c>
      <c r="K29" s="27">
        <f>F29*I29</f>
      </c>
    </row>
    <row r="30" spans="1:11" x14ac:dyDescent="0.25">
      <c r="A30" s="24" t="s">
        <v>215</v>
      </c>
      <c r="B30" s="24" t="s">
        <v>216</v>
      </c>
      <c r="J30" s="6">
        <f>SUM(J31:J34)</f>
      </c>
      <c r="K30" s="6">
        <f>SUM(K31:K34)</f>
      </c>
    </row>
    <row r="31" spans="1:11" x14ac:dyDescent="0.25">
      <c r="A31" s="4" t="s">
        <v>217</v>
      </c>
      <c r="B31" s="2" t="s">
        <v>218</v>
      </c>
      <c r="C31" s="4" t="s">
        <v>163</v>
      </c>
      <c r="D31" s="4" t="s">
        <v>219</v>
      </c>
      <c r="E31" s="25">
        <f>Supuestos!$B$5</f>
      </c>
      <c r="F31" s="25">
        <f>E31</f>
      </c>
      <c r="G31" s="26">
        <v>99</v>
      </c>
      <c r="H31" s="2" t="s">
        <v>220</v>
      </c>
      <c r="I31" s="27">
        <f>G31*(1+Supuestos!$B$38)</f>
      </c>
      <c r="J31" s="27">
        <f>E31*I31</f>
      </c>
      <c r="K31" s="27">
        <f>F31*I31</f>
      </c>
    </row>
    <row r="32" spans="1:11" x14ac:dyDescent="0.25">
      <c r="A32" s="4" t="s">
        <v>221</v>
      </c>
      <c r="B32" s="2" t="s">
        <v>222</v>
      </c>
      <c r="C32" s="4" t="s">
        <v>163</v>
      </c>
      <c r="D32" s="4" t="s">
        <v>185</v>
      </c>
      <c r="E32" s="25">
        <f>Supuestos!$B$6</f>
      </c>
      <c r="F32" s="25">
        <f>E32</f>
      </c>
      <c r="G32" s="26">
        <v>65</v>
      </c>
      <c r="H32" s="2" t="s">
        <v>223</v>
      </c>
      <c r="I32" s="27">
        <f>G32*(1+Supuestos!$B$38)</f>
      </c>
      <c r="J32" s="27">
        <f>E32*I32</f>
      </c>
      <c r="K32" s="27">
        <f>F32*I32</f>
      </c>
    </row>
    <row r="33" spans="1:11" x14ac:dyDescent="0.25">
      <c r="A33" s="28" t="s">
        <v>224</v>
      </c>
      <c r="B33" s="29" t="s">
        <v>225</v>
      </c>
      <c r="C33" s="28" t="s">
        <v>163</v>
      </c>
      <c r="D33" s="28" t="s">
        <v>219</v>
      </c>
      <c r="E33" s="25">
        <f>Supuestos!$B$5</f>
      </c>
      <c r="F33" s="25">
        <f>E33</f>
      </c>
      <c r="G33" s="22">
        <v>50</v>
      </c>
      <c r="H33" s="29" t="s">
        <v>226</v>
      </c>
      <c r="I33" s="27">
        <f>G33*(1+Supuestos!$B$38)</f>
      </c>
      <c r="J33" s="27">
        <f>E33*I33</f>
      </c>
      <c r="K33" s="27">
        <f>F33*I33</f>
      </c>
    </row>
    <row r="34" spans="1:11" x14ac:dyDescent="0.25">
      <c r="A34" s="4" t="s">
        <v>227</v>
      </c>
      <c r="B34" s="2" t="s">
        <v>228</v>
      </c>
      <c r="C34" s="4" t="s">
        <v>163</v>
      </c>
      <c r="D34" s="4" t="s">
        <v>219</v>
      </c>
      <c r="E34" s="25">
        <f>Supuestos!$B$5</f>
      </c>
      <c r="F34" s="25">
        <f>E34</f>
      </c>
      <c r="G34" s="26">
        <v>11.25</v>
      </c>
      <c r="H34" s="2" t="s">
        <v>229</v>
      </c>
      <c r="I34" s="27">
        <f>G34*(1+Supuestos!$B$38)</f>
      </c>
      <c r="J34" s="27">
        <f>E34*I34</f>
      </c>
      <c r="K34" s="27">
        <f>F34*I34</f>
      </c>
    </row>
    <row r="35" spans="1:11" x14ac:dyDescent="0.25">
      <c r="A35" s="24" t="s">
        <v>230</v>
      </c>
      <c r="B35" s="24" t="s">
        <v>231</v>
      </c>
      <c r="J35" s="6">
        <f>SUM(J36:J38)</f>
      </c>
      <c r="K35" s="6">
        <f>SUM(K36:K38)</f>
      </c>
    </row>
    <row r="36" spans="1:11" x14ac:dyDescent="0.25">
      <c r="A36" s="4" t="s">
        <v>232</v>
      </c>
      <c r="B36" s="2" t="s">
        <v>233</v>
      </c>
      <c r="C36" s="4" t="s">
        <v>163</v>
      </c>
      <c r="D36" s="4" t="s">
        <v>234</v>
      </c>
      <c r="E36" s="25">
        <f>Supuestos!$B$7</f>
      </c>
      <c r="F36" s="25">
        <f>E36</f>
      </c>
      <c r="G36" s="26">
        <v>55</v>
      </c>
      <c r="H36" s="2" t="s">
        <v>235</v>
      </c>
      <c r="I36" s="27">
        <f>G36*(1+Supuestos!$B$38)</f>
      </c>
      <c r="J36" s="27">
        <f>E36*I36</f>
      </c>
      <c r="K36" s="27">
        <f>F36*I36</f>
      </c>
    </row>
    <row r="37" spans="1:11" x14ac:dyDescent="0.25">
      <c r="A37" s="28" t="s">
        <v>236</v>
      </c>
      <c r="B37" s="29" t="s">
        <v>237</v>
      </c>
      <c r="C37" s="28" t="s">
        <v>156</v>
      </c>
      <c r="D37" s="28" t="s">
        <v>238</v>
      </c>
      <c r="E37" s="25">
        <f>1</f>
      </c>
      <c r="F37" s="25">
        <f>E37</f>
      </c>
      <c r="G37" s="22">
        <v>350</v>
      </c>
      <c r="H37" s="29" t="s">
        <v>239</v>
      </c>
      <c r="I37" s="27">
        <f>G37*(1+Supuestos!$B$38)</f>
      </c>
      <c r="J37" s="27">
        <f>E37*I37</f>
      </c>
      <c r="K37" s="27">
        <f>F37*I37</f>
      </c>
    </row>
    <row r="38" spans="1:11" x14ac:dyDescent="0.25">
      <c r="A38" s="28" t="s">
        <v>240</v>
      </c>
      <c r="B38" s="29" t="s">
        <v>241</v>
      </c>
      <c r="C38" s="28" t="s">
        <v>156</v>
      </c>
      <c r="D38" s="28" t="s">
        <v>238</v>
      </c>
      <c r="E38" s="25">
        <f>1</f>
      </c>
      <c r="F38" s="25">
        <f>E38</f>
      </c>
      <c r="G38" s="22">
        <v>450</v>
      </c>
      <c r="H38" s="29" t="s">
        <v>239</v>
      </c>
      <c r="I38" s="27">
        <f>G38*(1+Supuestos!$B$38)</f>
      </c>
      <c r="J38" s="27">
        <f>E38*I38</f>
      </c>
      <c r="K38" s="27">
        <f>F38*I38</f>
      </c>
    </row>
    <row r="39" spans="1:11" x14ac:dyDescent="0.25">
      <c r="A39" s="24" t="s">
        <v>242</v>
      </c>
      <c r="B39" s="24" t="s">
        <v>243</v>
      </c>
      <c r="J39" s="6">
        <f>SUM(J40:J49)</f>
      </c>
      <c r="K39" s="6">
        <f>SUM(K40:K49)</f>
      </c>
    </row>
    <row r="40" spans="1:11" x14ac:dyDescent="0.25">
      <c r="A40" s="4" t="s">
        <v>244</v>
      </c>
      <c r="B40" s="2" t="s">
        <v>245</v>
      </c>
      <c r="C40" s="4" t="s">
        <v>156</v>
      </c>
      <c r="D40" s="4" t="s">
        <v>246</v>
      </c>
      <c r="E40" s="25">
        <f>Supuestos!$B$31+Supuestos!$B$32</f>
      </c>
      <c r="F40" s="25">
        <f>E40</f>
      </c>
      <c r="G40" s="26">
        <v>494</v>
      </c>
      <c r="H40" s="2" t="s">
        <v>169</v>
      </c>
      <c r="I40" s="27">
        <f>G40*(1+Supuestos!$B$38)</f>
      </c>
      <c r="J40" s="27">
        <f>E40*I40</f>
      </c>
      <c r="K40" s="27">
        <f>F40*I40</f>
      </c>
    </row>
    <row r="41" spans="1:11" x14ac:dyDescent="0.25">
      <c r="A41" s="4" t="s">
        <v>247</v>
      </c>
      <c r="B41" s="2" t="s">
        <v>248</v>
      </c>
      <c r="C41" s="4" t="s">
        <v>156</v>
      </c>
      <c r="D41" s="4" t="s">
        <v>249</v>
      </c>
      <c r="E41" s="25">
        <f>4</f>
      </c>
      <c r="F41" s="25">
        <f>E41</f>
      </c>
      <c r="G41" s="26">
        <v>75</v>
      </c>
      <c r="H41" s="2" t="s">
        <v>250</v>
      </c>
      <c r="I41" s="27">
        <f>G41*(1+Supuestos!$B$38)</f>
      </c>
      <c r="J41" s="27">
        <f>E41*I41</f>
      </c>
      <c r="K41" s="27">
        <f>F41*I41</f>
      </c>
    </row>
    <row r="42" spans="1:11" x14ac:dyDescent="0.25">
      <c r="A42" s="4" t="s">
        <v>251</v>
      </c>
      <c r="B42" s="2" t="s">
        <v>252</v>
      </c>
      <c r="C42" s="4" t="s">
        <v>156</v>
      </c>
      <c r="D42" s="4" t="s">
        <v>253</v>
      </c>
      <c r="E42" s="25">
        <f>2</f>
      </c>
      <c r="F42" s="25">
        <f>E42</f>
      </c>
      <c r="G42" s="26">
        <v>50</v>
      </c>
      <c r="H42" s="2" t="s">
        <v>169</v>
      </c>
      <c r="I42" s="27">
        <f>G42*(1+Supuestos!$B$38)</f>
      </c>
      <c r="J42" s="27">
        <f>E42*I42</f>
      </c>
      <c r="K42" s="27">
        <f>F42*I42</f>
      </c>
    </row>
    <row r="43" spans="1:11" x14ac:dyDescent="0.25">
      <c r="A43" s="28" t="s">
        <v>254</v>
      </c>
      <c r="B43" s="29" t="s">
        <v>255</v>
      </c>
      <c r="C43" s="28" t="s">
        <v>156</v>
      </c>
      <c r="D43" s="28" t="s">
        <v>256</v>
      </c>
      <c r="E43" s="25">
        <f>Supuestos!$B$31+Supuestos!$B$32</f>
      </c>
      <c r="F43" s="25">
        <f>E43</f>
      </c>
      <c r="G43" s="22">
        <v>280</v>
      </c>
      <c r="H43" s="29" t="s">
        <v>257</v>
      </c>
      <c r="I43" s="27">
        <f>G43*(1+Supuestos!$B$38)</f>
      </c>
      <c r="J43" s="27">
        <f>E43*I43</f>
      </c>
      <c r="K43" s="27">
        <f>F43*I43</f>
      </c>
    </row>
    <row r="44" spans="1:11" x14ac:dyDescent="0.25">
      <c r="A44" s="4" t="s">
        <v>258</v>
      </c>
      <c r="B44" s="2" t="s">
        <v>259</v>
      </c>
      <c r="C44" s="4" t="s">
        <v>156</v>
      </c>
      <c r="D44" s="4" t="s">
        <v>260</v>
      </c>
      <c r="E44" s="25">
        <f>4</f>
      </c>
      <c r="F44" s="25">
        <f>E44</f>
      </c>
      <c r="G44" s="26">
        <v>96.38</v>
      </c>
      <c r="H44" s="2" t="s">
        <v>261</v>
      </c>
      <c r="I44" s="27">
        <f>G44*(1+Supuestos!$B$38)</f>
      </c>
      <c r="J44" s="27">
        <f>E44*I44</f>
      </c>
      <c r="K44" s="27">
        <f>F44*I44</f>
      </c>
    </row>
    <row r="45" spans="1:11" x14ac:dyDescent="0.25">
      <c r="A45" s="4" t="s">
        <v>262</v>
      </c>
      <c r="B45" s="2" t="s">
        <v>263</v>
      </c>
      <c r="C45" s="4" t="s">
        <v>156</v>
      </c>
      <c r="D45" s="4" t="s">
        <v>260</v>
      </c>
      <c r="E45" s="25">
        <f>4</f>
      </c>
      <c r="F45" s="25">
        <f>E45</f>
      </c>
      <c r="G45" s="26">
        <v>57.6</v>
      </c>
      <c r="H45" s="2" t="s">
        <v>264</v>
      </c>
      <c r="I45" s="27">
        <f>G45*(1+Supuestos!$B$38)</f>
      </c>
      <c r="J45" s="27">
        <f>E45*I45</f>
      </c>
      <c r="K45" s="27">
        <f>F45*I45</f>
      </c>
    </row>
    <row r="46" spans="1:11" x14ac:dyDescent="0.25">
      <c r="A46" s="4" t="s">
        <v>265</v>
      </c>
      <c r="B46" s="2" t="s">
        <v>266</v>
      </c>
      <c r="C46" s="4" t="s">
        <v>156</v>
      </c>
      <c r="D46" s="4" t="s">
        <v>267</v>
      </c>
      <c r="E46" s="25">
        <f>2</f>
      </c>
      <c r="F46" s="25">
        <f>E46</f>
      </c>
      <c r="G46" s="26">
        <v>159.5</v>
      </c>
      <c r="H46" s="2" t="s">
        <v>268</v>
      </c>
      <c r="I46" s="27">
        <f>G46*(1+Supuestos!$B$38)</f>
      </c>
      <c r="J46" s="27">
        <f>E46*I46</f>
      </c>
      <c r="K46" s="27">
        <f>F46*I46</f>
      </c>
    </row>
    <row r="47" spans="1:11" x14ac:dyDescent="0.25">
      <c r="A47" s="4" t="s">
        <v>269</v>
      </c>
      <c r="B47" s="2" t="s">
        <v>270</v>
      </c>
      <c r="C47" s="4" t="s">
        <v>156</v>
      </c>
      <c r="D47" s="4" t="s">
        <v>267</v>
      </c>
      <c r="E47" s="25">
        <f>2</f>
      </c>
      <c r="F47" s="25">
        <f>E47</f>
      </c>
      <c r="G47" s="26">
        <v>300</v>
      </c>
      <c r="H47" s="2" t="s">
        <v>271</v>
      </c>
      <c r="I47" s="27">
        <f>G47*(1+Supuestos!$B$38)</f>
      </c>
      <c r="J47" s="27">
        <f>E47*I47</f>
      </c>
      <c r="K47" s="27">
        <f>F47*I47</f>
      </c>
    </row>
    <row r="48" spans="1:11" x14ac:dyDescent="0.25">
      <c r="A48" s="28" t="s">
        <v>272</v>
      </c>
      <c r="B48" s="29" t="s">
        <v>273</v>
      </c>
      <c r="C48" s="28" t="s">
        <v>156</v>
      </c>
      <c r="D48" s="28" t="s">
        <v>238</v>
      </c>
      <c r="E48" s="25">
        <f>1</f>
      </c>
      <c r="F48" s="25">
        <f>E48</f>
      </c>
      <c r="G48" s="22">
        <v>450</v>
      </c>
      <c r="H48" s="29" t="s">
        <v>239</v>
      </c>
      <c r="I48" s="27">
        <f>G48*(1+Supuestos!$B$38)</f>
      </c>
      <c r="J48" s="27">
        <f>E48*I48</f>
      </c>
      <c r="K48" s="27">
        <f>F48*I48</f>
      </c>
    </row>
    <row r="49" spans="1:11" x14ac:dyDescent="0.25">
      <c r="A49" s="4" t="s">
        <v>274</v>
      </c>
      <c r="B49" s="2" t="s">
        <v>275</v>
      </c>
      <c r="C49" s="4" t="s">
        <v>156</v>
      </c>
      <c r="D49" s="4" t="s">
        <v>238</v>
      </c>
      <c r="E49" s="25">
        <f>1</f>
      </c>
      <c r="F49" s="25">
        <f>E49</f>
      </c>
      <c r="G49" s="26">
        <v>400</v>
      </c>
      <c r="H49" s="2" t="s">
        <v>276</v>
      </c>
      <c r="I49" s="27">
        <f>G49*(1+Supuestos!$B$38)</f>
      </c>
      <c r="J49" s="27">
        <f>E49*I49</f>
      </c>
      <c r="K49" s="27">
        <f>F49*I49</f>
      </c>
    </row>
    <row r="50" spans="1:11" x14ac:dyDescent="0.25">
      <c r="A50" s="24" t="s">
        <v>277</v>
      </c>
      <c r="B50" s="24" t="s">
        <v>278</v>
      </c>
      <c r="J50" s="6">
        <f>SUM(J51:J54)</f>
      </c>
      <c r="K50" s="6">
        <f>SUM(K51:K54)</f>
      </c>
    </row>
    <row r="51" spans="1:11" x14ac:dyDescent="0.25">
      <c r="A51" s="4" t="s">
        <v>279</v>
      </c>
      <c r="B51" s="2" t="s">
        <v>280</v>
      </c>
      <c r="C51" s="4" t="s">
        <v>163</v>
      </c>
      <c r="D51" s="4" t="s">
        <v>281</v>
      </c>
      <c r="E51" s="25">
        <f>Supuestos!$B$8</f>
      </c>
      <c r="F51" s="25">
        <f>E51</f>
      </c>
      <c r="G51" s="26">
        <v>74.2</v>
      </c>
      <c r="H51" s="2" t="s">
        <v>282</v>
      </c>
      <c r="I51" s="27">
        <f>G51*(1+Supuestos!$B$38)</f>
      </c>
      <c r="J51" s="27">
        <f>E51*I51</f>
      </c>
      <c r="K51" s="27">
        <f>F51*I51</f>
      </c>
    </row>
    <row r="52" spans="1:11" x14ac:dyDescent="0.25">
      <c r="A52" s="4" t="s">
        <v>283</v>
      </c>
      <c r="B52" s="2" t="s">
        <v>284</v>
      </c>
      <c r="C52" s="4" t="s">
        <v>156</v>
      </c>
      <c r="D52" s="4" t="s">
        <v>238</v>
      </c>
      <c r="E52" s="25">
        <f>1</f>
      </c>
      <c r="F52" s="25">
        <f>E52</f>
      </c>
      <c r="G52" s="26">
        <v>9731</v>
      </c>
      <c r="H52" s="2" t="s">
        <v>285</v>
      </c>
      <c r="I52" s="27">
        <f>G52*(1+Supuestos!$B$38)</f>
      </c>
      <c r="J52" s="27">
        <f>E52*I52</f>
      </c>
      <c r="K52" s="27">
        <f>F52*I52</f>
      </c>
    </row>
    <row r="53" spans="1:11" x14ac:dyDescent="0.25">
      <c r="A53" s="4" t="s">
        <v>286</v>
      </c>
      <c r="B53" s="2" t="s">
        <v>287</v>
      </c>
      <c r="C53" s="4" t="s">
        <v>156</v>
      </c>
      <c r="D53" s="4" t="s">
        <v>288</v>
      </c>
      <c r="E53" s="25">
        <f>5</f>
      </c>
      <c r="F53" s="25">
        <f>E53</f>
      </c>
      <c r="G53" s="26">
        <v>50</v>
      </c>
      <c r="H53" s="2" t="s">
        <v>289</v>
      </c>
      <c r="I53" s="27">
        <f>G53*(1+Supuestos!$B$38)</f>
      </c>
      <c r="J53" s="27">
        <f>E53*I53</f>
      </c>
      <c r="K53" s="27">
        <f>F53*I53</f>
      </c>
    </row>
    <row r="54" spans="1:11" x14ac:dyDescent="0.25">
      <c r="A54" s="28" t="s">
        <v>290</v>
      </c>
      <c r="B54" s="29" t="s">
        <v>291</v>
      </c>
      <c r="C54" s="28" t="s">
        <v>156</v>
      </c>
      <c r="D54" s="28" t="s">
        <v>238</v>
      </c>
      <c r="E54" s="25">
        <f>1</f>
      </c>
      <c r="F54" s="25">
        <f>E54</f>
      </c>
      <c r="G54" s="22">
        <v>2200</v>
      </c>
      <c r="H54" s="29" t="s">
        <v>198</v>
      </c>
      <c r="I54" s="27">
        <f>G54*(1+Supuestos!$B$38)</f>
      </c>
      <c r="J54" s="27">
        <f>E54*I54</f>
      </c>
      <c r="K54" s="27">
        <f>F54*I54</f>
      </c>
    </row>
    <row r="55" spans="1:11" x14ac:dyDescent="0.25">
      <c r="A55" s="24" t="s">
        <v>292</v>
      </c>
      <c r="B55" s="24" t="s">
        <v>293</v>
      </c>
      <c r="J55" s="6">
        <f>SUM(J56:J58)</f>
      </c>
      <c r="K55" s="6">
        <f>SUM(K56:K58)</f>
      </c>
    </row>
    <row r="56" spans="1:11" x14ac:dyDescent="0.25">
      <c r="A56" s="28" t="s">
        <v>294</v>
      </c>
      <c r="B56" s="29" t="s">
        <v>295</v>
      </c>
      <c r="C56" s="28" t="s">
        <v>163</v>
      </c>
      <c r="D56" s="28" t="s">
        <v>296</v>
      </c>
      <c r="E56" s="25">
        <f>Supuestos!$B$20</f>
      </c>
      <c r="F56" s="25">
        <f>E56</f>
      </c>
      <c r="G56" s="22">
        <v>400</v>
      </c>
      <c r="H56" s="29" t="s">
        <v>297</v>
      </c>
      <c r="I56" s="27">
        <f>G56*(1+Supuestos!$B$38)</f>
      </c>
      <c r="J56" s="27">
        <f>E56*I56</f>
      </c>
      <c r="K56" s="27">
        <f>F56*I56</f>
      </c>
    </row>
    <row r="57" spans="1:11" x14ac:dyDescent="0.25">
      <c r="A57" s="4" t="s">
        <v>298</v>
      </c>
      <c r="B57" s="2" t="s">
        <v>299</v>
      </c>
      <c r="C57" s="4" t="s">
        <v>156</v>
      </c>
      <c r="D57" s="4" t="s">
        <v>238</v>
      </c>
      <c r="E57" s="25">
        <f>1</f>
      </c>
      <c r="F57" s="25">
        <f>E57</f>
      </c>
      <c r="G57" s="26">
        <v>1786.35</v>
      </c>
      <c r="H57" s="2" t="s">
        <v>300</v>
      </c>
      <c r="I57" s="27">
        <f>G57*(1+Supuestos!$B$38)</f>
      </c>
      <c r="J57" s="27">
        <f>E57*I57</f>
      </c>
      <c r="K57" s="27">
        <f>F57*I57</f>
      </c>
    </row>
    <row r="58" spans="1:11" x14ac:dyDescent="0.25">
      <c r="A58" s="4" t="s">
        <v>301</v>
      </c>
      <c r="B58" s="2" t="s">
        <v>302</v>
      </c>
      <c r="C58" s="4" t="s">
        <v>201</v>
      </c>
      <c r="D58" s="4" t="s">
        <v>202</v>
      </c>
      <c r="E58" s="25">
        <f>Supuestos!$B$36</f>
      </c>
      <c r="F58" s="25">
        <f>E58</f>
      </c>
      <c r="G58" s="26">
        <v>35</v>
      </c>
      <c r="H58" s="2" t="s">
        <v>303</v>
      </c>
      <c r="I58" s="27">
        <f>G58*(1+Supuestos!$B$38)</f>
      </c>
      <c r="J58" s="27">
        <f>E58*I58</f>
      </c>
      <c r="K58" s="27">
        <f>F58*I58</f>
      </c>
    </row>
    <row r="59" spans="1:11" x14ac:dyDescent="0.25">
      <c r="A59" s="24" t="s">
        <v>304</v>
      </c>
      <c r="B59" s="24" t="s">
        <v>305</v>
      </c>
      <c r="J59" s="6">
        <f>SUM(J60:J60)</f>
      </c>
      <c r="K59" s="6">
        <f>SUM(K60:K60)</f>
      </c>
    </row>
    <row r="60" spans="1:11" x14ac:dyDescent="0.25">
      <c r="A60" s="4" t="s">
        <v>306</v>
      </c>
      <c r="B60" s="2" t="s">
        <v>307</v>
      </c>
      <c r="C60" s="4" t="s">
        <v>163</v>
      </c>
      <c r="D60" s="4" t="s">
        <v>308</v>
      </c>
      <c r="E60" s="25">
        <f>(Supuestos!$B$18-Supuestos!$B$20-Supuestos!$B$21)</f>
      </c>
      <c r="F60" s="25">
        <f>(Supuestos!$B$18-Supuestos!$B$20)</f>
      </c>
      <c r="G60" s="26">
        <v>76</v>
      </c>
      <c r="H60" s="2" t="s">
        <v>309</v>
      </c>
      <c r="I60" s="27">
        <f>G60*(1+Supuestos!$B$38)</f>
      </c>
      <c r="J60" s="27">
        <f>E60*I60</f>
      </c>
      <c r="K60" s="27">
        <f>F60*I60</f>
      </c>
    </row>
    <row r="61" spans="1:11" x14ac:dyDescent="0.25">
      <c r="A61" s="24" t="s">
        <v>310</v>
      </c>
      <c r="B61" s="24" t="s">
        <v>311</v>
      </c>
      <c r="J61" s="6">
        <f>SUM(J62:J68)</f>
      </c>
      <c r="K61" s="6">
        <f>SUM(K62:K68)</f>
      </c>
    </row>
    <row r="62" spans="1:11" x14ac:dyDescent="0.25">
      <c r="A62" s="4" t="s">
        <v>312</v>
      </c>
      <c r="B62" s="2" t="s">
        <v>313</v>
      </c>
      <c r="C62" s="4" t="s">
        <v>163</v>
      </c>
      <c r="D62" s="4" t="s">
        <v>314</v>
      </c>
      <c r="E62" s="25">
        <f>Supuestos!$B$25</f>
      </c>
      <c r="F62" s="25">
        <f>E62</f>
      </c>
      <c r="G62" s="26">
        <v>59.12</v>
      </c>
      <c r="H62" s="2" t="s">
        <v>315</v>
      </c>
      <c r="I62" s="27">
        <f>G62*(1+Supuestos!$B$38)</f>
      </c>
      <c r="J62" s="27">
        <f>E62*I62</f>
      </c>
      <c r="K62" s="27">
        <f>F62*I62</f>
      </c>
    </row>
    <row r="63" spans="1:11" x14ac:dyDescent="0.25">
      <c r="A63" s="4" t="s">
        <v>316</v>
      </c>
      <c r="B63" s="2" t="s">
        <v>317</v>
      </c>
      <c r="C63" s="4" t="s">
        <v>163</v>
      </c>
      <c r="D63" s="4" t="s">
        <v>318</v>
      </c>
      <c r="E63" s="25">
        <f>Supuestos!$B$29*1.2</f>
      </c>
      <c r="F63" s="25">
        <f>E63</f>
      </c>
      <c r="G63" s="26">
        <v>5.47</v>
      </c>
      <c r="H63" s="2" t="s">
        <v>319</v>
      </c>
      <c r="I63" s="27">
        <f>G63*(1+Supuestos!$B$38)</f>
      </c>
      <c r="J63" s="27">
        <f>E63*I63</f>
      </c>
      <c r="K63" s="27">
        <f>F63*I63</f>
      </c>
    </row>
    <row r="64" spans="1:11" x14ac:dyDescent="0.25">
      <c r="A64" s="4" t="s">
        <v>320</v>
      </c>
      <c r="B64" s="2" t="s">
        <v>321</v>
      </c>
      <c r="C64" s="4" t="s">
        <v>163</v>
      </c>
      <c r="D64" s="4" t="s">
        <v>202</v>
      </c>
      <c r="E64" s="25">
        <f>Supuestos!$B$29</f>
      </c>
      <c r="F64" s="25">
        <f>E64</f>
      </c>
      <c r="G64" s="26">
        <v>45</v>
      </c>
      <c r="H64" s="2" t="s">
        <v>229</v>
      </c>
      <c r="I64" s="27">
        <f>G64*(1+Supuestos!$B$38)</f>
      </c>
      <c r="J64" s="27">
        <f>E64*I64</f>
      </c>
      <c r="K64" s="27">
        <f>F64*I64</f>
      </c>
    </row>
    <row r="65" spans="1:11" x14ac:dyDescent="0.25">
      <c r="A65" s="4" t="s">
        <v>322</v>
      </c>
      <c r="B65" s="2" t="s">
        <v>323</v>
      </c>
      <c r="C65" s="4" t="s">
        <v>163</v>
      </c>
      <c r="D65" s="4" t="s">
        <v>281</v>
      </c>
      <c r="E65" s="25">
        <f>Supuestos!$B$8</f>
      </c>
      <c r="F65" s="25">
        <f>E65</f>
      </c>
      <c r="G65" s="26">
        <v>13.56</v>
      </c>
      <c r="H65" s="2" t="s">
        <v>169</v>
      </c>
      <c r="I65" s="27">
        <f>G65*(1+Supuestos!$B$38)</f>
      </c>
      <c r="J65" s="27">
        <f>E65*I65</f>
      </c>
      <c r="K65" s="27">
        <f>F65*I65</f>
      </c>
    </row>
    <row r="66" spans="1:11" x14ac:dyDescent="0.25">
      <c r="A66" s="4" t="s">
        <v>324</v>
      </c>
      <c r="B66" s="2" t="s">
        <v>325</v>
      </c>
      <c r="C66" s="4" t="s">
        <v>163</v>
      </c>
      <c r="D66" s="4" t="s">
        <v>326</v>
      </c>
      <c r="E66" s="25">
        <f>Supuestos!$B$26</f>
      </c>
      <c r="F66" s="25">
        <f>E66</f>
      </c>
      <c r="G66" s="26">
        <v>5.47</v>
      </c>
      <c r="H66" s="2" t="s">
        <v>327</v>
      </c>
      <c r="I66" s="27">
        <f>G66*(1+Supuestos!$B$38)</f>
      </c>
      <c r="J66" s="27">
        <f>E66*I66</f>
      </c>
      <c r="K66" s="27">
        <f>F66*I66</f>
      </c>
    </row>
    <row r="67" spans="1:11" x14ac:dyDescent="0.25">
      <c r="A67" s="4" t="s">
        <v>328</v>
      </c>
      <c r="B67" s="2" t="s">
        <v>329</v>
      </c>
      <c r="C67" s="4" t="s">
        <v>163</v>
      </c>
      <c r="D67" s="4" t="s">
        <v>330</v>
      </c>
      <c r="E67" s="25">
        <f>Supuestos!$B$25*2+(Supuestos!$B$18-Supuestos!$B$20)-Supuestos!$B$29</f>
      </c>
      <c r="F67" s="25">
        <f>E67</f>
      </c>
      <c r="G67" s="26">
        <v>7.1</v>
      </c>
      <c r="H67" s="2" t="s">
        <v>331</v>
      </c>
      <c r="I67" s="27">
        <f>G67*(1+Supuestos!$B$38)</f>
      </c>
      <c r="J67" s="27">
        <f>E67*I67</f>
      </c>
      <c r="K67" s="27">
        <f>F67*I67</f>
      </c>
    </row>
    <row r="68" spans="1:11" x14ac:dyDescent="0.25">
      <c r="A68" s="4" t="s">
        <v>332</v>
      </c>
      <c r="B68" s="2" t="s">
        <v>333</v>
      </c>
      <c r="C68" s="4" t="s">
        <v>163</v>
      </c>
      <c r="D68" s="4" t="s">
        <v>281</v>
      </c>
      <c r="E68" s="25">
        <f>Supuestos!$B$8</f>
      </c>
      <c r="F68" s="25">
        <f>E68</f>
      </c>
      <c r="G68" s="26">
        <v>7.1</v>
      </c>
      <c r="H68" s="2" t="s">
        <v>331</v>
      </c>
      <c r="I68" s="27">
        <f>G68*(1+Supuestos!$B$38)</f>
      </c>
      <c r="J68" s="27">
        <f>E68*I68</f>
      </c>
      <c r="K68" s="27">
        <f>F68*I68</f>
      </c>
    </row>
    <row r="69" spans="1:11" x14ac:dyDescent="0.25">
      <c r="A69" s="24" t="s">
        <v>334</v>
      </c>
      <c r="B69" s="24" t="s">
        <v>335</v>
      </c>
      <c r="J69" s="6">
        <f>SUM(J70:J73)</f>
      </c>
      <c r="K69" s="6">
        <f>SUM(K70:K73)</f>
      </c>
    </row>
    <row r="70" spans="1:11" x14ac:dyDescent="0.25">
      <c r="A70" s="28" t="s">
        <v>336</v>
      </c>
      <c r="B70" s="29" t="s">
        <v>337</v>
      </c>
      <c r="C70" s="28" t="s">
        <v>163</v>
      </c>
      <c r="D70" s="28" t="s">
        <v>202</v>
      </c>
      <c r="E70" s="25">
        <f>Supuestos!$B$28</f>
      </c>
      <c r="F70" s="25">
        <f>E70</f>
      </c>
      <c r="G70" s="22">
        <v>32</v>
      </c>
      <c r="H70" s="29" t="s">
        <v>338</v>
      </c>
      <c r="I70" s="27">
        <f>G70*(1+Supuestos!$B$38)</f>
      </c>
      <c r="J70" s="27">
        <f>E70*I70</f>
      </c>
      <c r="K70" s="27">
        <f>F70*I70</f>
      </c>
    </row>
    <row r="71" spans="1:11" x14ac:dyDescent="0.25">
      <c r="A71" s="4" t="s">
        <v>339</v>
      </c>
      <c r="B71" s="2" t="s">
        <v>340</v>
      </c>
      <c r="C71" s="4" t="s">
        <v>163</v>
      </c>
      <c r="D71" s="4" t="s">
        <v>326</v>
      </c>
      <c r="E71" s="25">
        <f>Supuestos!$B$26</f>
      </c>
      <c r="F71" s="25">
        <f>E71</f>
      </c>
      <c r="G71" s="26">
        <v>45</v>
      </c>
      <c r="H71" s="2" t="s">
        <v>341</v>
      </c>
      <c r="I71" s="27">
        <f>G71*(1+Supuestos!$B$38)</f>
      </c>
      <c r="J71" s="27">
        <f>E71*I71</f>
      </c>
      <c r="K71" s="27">
        <f>F71*I71</f>
      </c>
    </row>
    <row r="72" spans="1:11" x14ac:dyDescent="0.25">
      <c r="A72" s="4" t="s">
        <v>342</v>
      </c>
      <c r="B72" s="2" t="s">
        <v>343</v>
      </c>
      <c r="C72" s="4" t="s">
        <v>201</v>
      </c>
      <c r="D72" s="4" t="s">
        <v>202</v>
      </c>
      <c r="E72" s="25">
        <f>Supuestos!$B$37</f>
      </c>
      <c r="F72" s="25">
        <f>E72</f>
      </c>
      <c r="G72" s="26">
        <v>16.2</v>
      </c>
      <c r="H72" s="2" t="s">
        <v>169</v>
      </c>
      <c r="I72" s="27">
        <f>G72*(1+Supuestos!$B$38)</f>
      </c>
      <c r="J72" s="27">
        <f>E72*I72</f>
      </c>
      <c r="K72" s="27">
        <f>F72*I72</f>
      </c>
    </row>
    <row r="73" spans="1:11" x14ac:dyDescent="0.25">
      <c r="A73" s="28" t="s">
        <v>344</v>
      </c>
      <c r="B73" s="29" t="s">
        <v>345</v>
      </c>
      <c r="C73" s="28" t="s">
        <v>156</v>
      </c>
      <c r="D73" s="28" t="s">
        <v>238</v>
      </c>
      <c r="E73" s="25">
        <f>1</f>
      </c>
      <c r="F73" s="25">
        <f>E73</f>
      </c>
      <c r="G73" s="22">
        <v>3200</v>
      </c>
      <c r="H73" s="29" t="s">
        <v>346</v>
      </c>
      <c r="I73" s="27">
        <f>G73*(1+Supuestos!$B$38)</f>
      </c>
      <c r="J73" s="27">
        <f>E73*I73</f>
      </c>
      <c r="K73" s="27">
        <f>F73*I73</f>
      </c>
    </row>
    <row r="74" spans="1:11" x14ac:dyDescent="0.25">
      <c r="A74" s="24" t="s">
        <v>347</v>
      </c>
      <c r="B74" s="24" t="s">
        <v>348</v>
      </c>
      <c r="J74" s="6">
        <f>SUM(J75:J77)</f>
      </c>
      <c r="K74" s="6">
        <f>SUM(K75:K77)</f>
      </c>
    </row>
    <row r="75" spans="1:11" x14ac:dyDescent="0.25">
      <c r="A75" s="4" t="s">
        <v>349</v>
      </c>
      <c r="B75" s="2" t="s">
        <v>350</v>
      </c>
      <c r="C75" s="4" t="s">
        <v>156</v>
      </c>
      <c r="D75" s="4" t="s">
        <v>97</v>
      </c>
      <c r="E75" s="25">
        <f>Supuestos!$B$30</f>
      </c>
      <c r="F75" s="25">
        <f>E75</f>
      </c>
      <c r="G75" s="26">
        <v>744</v>
      </c>
      <c r="H75" s="2" t="s">
        <v>351</v>
      </c>
      <c r="I75" s="27">
        <f>G75*(1+Supuestos!$B$38)</f>
      </c>
      <c r="J75" s="27">
        <f>E75*I75</f>
      </c>
      <c r="K75" s="27">
        <f>F75*I75</f>
      </c>
    </row>
    <row r="76" spans="1:11" x14ac:dyDescent="0.25">
      <c r="A76" s="28" t="s">
        <v>352</v>
      </c>
      <c r="B76" s="29" t="s">
        <v>353</v>
      </c>
      <c r="C76" s="28" t="s">
        <v>156</v>
      </c>
      <c r="D76" s="28" t="s">
        <v>238</v>
      </c>
      <c r="E76" s="25">
        <f>1</f>
      </c>
      <c r="F76" s="25">
        <f>E76</f>
      </c>
      <c r="G76" s="22">
        <v>1500</v>
      </c>
      <c r="H76" s="29" t="s">
        <v>354</v>
      </c>
      <c r="I76" s="27">
        <f>G76*(1+Supuestos!$B$38)</f>
      </c>
      <c r="J76" s="27">
        <f>E76*I76</f>
      </c>
      <c r="K76" s="27">
        <f>F76*I76</f>
      </c>
    </row>
    <row r="77" spans="1:11" x14ac:dyDescent="0.25">
      <c r="A77" s="28" t="s">
        <v>355</v>
      </c>
      <c r="B77" s="29" t="s">
        <v>356</v>
      </c>
      <c r="C77" s="28" t="s">
        <v>156</v>
      </c>
      <c r="D77" s="28" t="s">
        <v>238</v>
      </c>
      <c r="E77" s="25">
        <f>1</f>
      </c>
      <c r="F77" s="25">
        <f>E77</f>
      </c>
      <c r="G77" s="22">
        <v>1200</v>
      </c>
      <c r="H77" s="29" t="s">
        <v>239</v>
      </c>
      <c r="I77" s="27">
        <f>G77*(1+Supuestos!$B$38)</f>
      </c>
      <c r="J77" s="27">
        <f>E77*I77</f>
      </c>
      <c r="K77" s="27">
        <f>F77*I77</f>
      </c>
    </row>
    <row r="78" spans="1:11" x14ac:dyDescent="0.25">
      <c r="A78" s="24" t="s">
        <v>357</v>
      </c>
      <c r="B78" s="24" t="s">
        <v>358</v>
      </c>
      <c r="J78" s="6">
        <f>SUM(J79:J82)</f>
      </c>
      <c r="K78" s="6">
        <f>SUM(K79:K82)</f>
      </c>
    </row>
    <row r="79" spans="1:11" x14ac:dyDescent="0.25">
      <c r="A79" s="4" t="s">
        <v>359</v>
      </c>
      <c r="B79" s="2" t="s">
        <v>360</v>
      </c>
      <c r="C79" s="4" t="s">
        <v>156</v>
      </c>
      <c r="D79" s="4" t="s">
        <v>361</v>
      </c>
      <c r="E79" s="25">
        <f>Supuestos!$B$14</f>
      </c>
      <c r="F79" s="25">
        <f>E79</f>
      </c>
      <c r="G79" s="30">
        <f>Supuestos!$B$41</f>
      </c>
      <c r="H79" s="2" t="s">
        <v>362</v>
      </c>
      <c r="I79" s="27">
        <f>G79*(1+Supuestos!$B$38)</f>
      </c>
      <c r="J79" s="27">
        <f>E79*I79</f>
      </c>
      <c r="K79" s="27">
        <f>F79*I79</f>
      </c>
    </row>
    <row r="80" spans="1:11" x14ac:dyDescent="0.25">
      <c r="A80" s="4" t="s">
        <v>363</v>
      </c>
      <c r="B80" s="2" t="s">
        <v>364</v>
      </c>
      <c r="C80" s="4" t="s">
        <v>156</v>
      </c>
      <c r="D80" s="4" t="s">
        <v>365</v>
      </c>
      <c r="E80" s="25">
        <f>1</f>
      </c>
      <c r="F80" s="25">
        <f>E80</f>
      </c>
      <c r="G80" s="30">
        <f>Supuestos!$B$42</f>
      </c>
      <c r="H80" s="2" t="s">
        <v>366</v>
      </c>
      <c r="I80" s="27">
        <f>G80*(1+Supuestos!$B$38)</f>
      </c>
      <c r="J80" s="27">
        <f>E80*I80</f>
      </c>
      <c r="K80" s="27">
        <f>F80*I80</f>
      </c>
    </row>
    <row r="81" spans="1:11" x14ac:dyDescent="0.25">
      <c r="A81" s="4" t="s">
        <v>367</v>
      </c>
      <c r="B81" s="2" t="s">
        <v>368</v>
      </c>
      <c r="C81" s="4" t="s">
        <v>369</v>
      </c>
      <c r="D81" s="4" t="s">
        <v>202</v>
      </c>
      <c r="E81" s="25">
        <f>Supuestos!$B$39</f>
      </c>
      <c r="F81" s="25">
        <f>E81</f>
      </c>
      <c r="G81" s="30">
        <f>Supuestos!$B$40</f>
      </c>
      <c r="H81" s="2" t="s">
        <v>370</v>
      </c>
      <c r="I81" s="27">
        <f>G81*(1+Supuestos!$B$38)</f>
      </c>
      <c r="J81" s="27">
        <f>E81*I81</f>
      </c>
      <c r="K81" s="27">
        <f>F81*I81</f>
      </c>
    </row>
    <row r="82" spans="1:11" x14ac:dyDescent="0.25">
      <c r="A82" s="4" t="s">
        <v>371</v>
      </c>
      <c r="B82" s="2" t="s">
        <v>372</v>
      </c>
      <c r="C82" s="4" t="s">
        <v>163</v>
      </c>
      <c r="D82" s="4" t="s">
        <v>234</v>
      </c>
      <c r="E82" s="25">
        <f>Supuestos!$B$7</f>
      </c>
      <c r="F82" s="25">
        <f>E82</f>
      </c>
      <c r="G82" s="26">
        <v>5</v>
      </c>
      <c r="H82" s="2" t="s">
        <v>169</v>
      </c>
      <c r="I82" s="27">
        <f>G82*(1+Supuestos!$B$38)</f>
      </c>
      <c r="J82" s="27">
        <f>E82*I82</f>
      </c>
      <c r="K82" s="27">
        <f>F82*I82</f>
      </c>
    </row>
    <row r="84" spans="2:11" x14ac:dyDescent="0.25">
      <c r="B84" s="8" t="s">
        <v>373</v>
      </c>
      <c r="J84" s="9">
        <f>J6+J11+J18+J30+J35+J39+J50+J55+J59+J61+J69+J74+J78</f>
      </c>
      <c r="K84" s="9">
        <f>K6+K11+K18+K30+K35+K39+K50+K55+K59+K61+K69+K74+K78</f>
      </c>
    </row>
    <row r="85" spans="2:11" x14ac:dyDescent="0.25">
      <c r="B85" s="4" t="s">
        <v>374</v>
      </c>
      <c r="J85" s="9">
        <f>J84/Supuestos!$B$7</f>
      </c>
      <c r="K85" s="9">
        <f>K84/Supuestos!$B$7</f>
      </c>
    </row>
    <row r="86" spans="2:11" x14ac:dyDescent="0.25">
      <c r="B86" s="4" t="s">
        <v>375</v>
      </c>
      <c r="J86" s="6">
        <f>SUMPRODUCT(ISNUMBER(SEARCH("ESTIMADO",H7:H82))*J7:J82)</f>
      </c>
      <c r="K86" s="7">
        <f>J86/J84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Supuestos</vt:lpstr>
      <vt:lpstr>Presupuesto vivienda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Montero</dc:creator>
  <dc:title/>
  <dc:subject/>
  <dc:description/>
  <cp:keywords/>
  <cp:category/>
  <cp:lastModifiedBy>Unknown</cp:lastModifiedBy>
  <dcterms:created xsi:type="dcterms:W3CDTF">2026-09-28T14:54:05Z</dcterms:created>
  <dcterms:modified xsi:type="dcterms:W3CDTF">2026-09-28T14:54:05Z</dcterms:modified>
</cp:coreProperties>
</file>