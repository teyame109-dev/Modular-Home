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<sst xmlns="http://schemas.openxmlformats.org/spreadsheetml/2006/main" count="112" uniqueCount="95">
  <si>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</si>
  <si>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</si>
  <si>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</si>
  <si>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</si>
  <si>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</si>
  <si>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</si>
  <si>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</si>
  <si>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</si>
  <si>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</si>
  <si>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</si>
  <si>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</si>
  <si>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</si>
  <si>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</si>
  <si>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</si>
  <si>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</si>
  <si>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</si>
  <si>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</si>
  <si>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</si>
  <si>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</si>
  <si>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</si>
  <si>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</si>
  <si>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</si>
  <si>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</si>
  <si>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Total del presupuesto del equipo</t>
  </si>
  <si>
    <t xml:space="preserve">En el manuscrito: 6.885,00 €. La diferencia son los redondeos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</si>
  <si>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</si>
  <si>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se suministra aparte a 95 €/m³ y el acero también va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</si>
  <si>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</si>
  <si>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</si>
  <si>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</si>
  <si>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</si>
  <si>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Va aparte de los 0,67 €/kg de elaboración y armado. Precio pendiente</t>
  </si>
  <si>
    <t xml:space="preserve">Hormigón de limpieza bajo zapatas</t>
  </si>
  <si>
    <t xml:space="preserve">Superficie de zapatas del croquis: 10,00 × (0,75 + 0,90 + 0,90 + 0,75) + 2 × 8,50 × 0,75</t>
  </si>
  <si>
    <t xml:space="preserve">m²</t>
  </si>
  <si>
    <t xml:space="preserve">Excavación de zanjas y retirada de tierras</t>
  </si>
  <si>
    <t xml:space="preserve">Pendiente de medir</t>
  </si>
  <si>
    <t xml:space="preserve">Grava o lámina en la cámara sanitaria</t>
  </si>
  <si>
    <t xml:space="preserve">Pendiente de definir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</si>
  <si>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</si>
  <si>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</si>
  <si>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</si>
  <si>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</si>
  <si>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</si>
  <si>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</si>
  <si>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</si>
  <si>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</si>
  <si>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</si>
  <si>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</si>
  <si>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</si>
  <si>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</si>
  <si>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</si>
  <si>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</si>
  <si>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</si>
  <si>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</si>
  <si>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</si>
  <si>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</si>
  <si>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</si>
  <si>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</si>
  <si>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</si>
  <si>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</si>
  <si>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</si>
  <si>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</si>
  <si>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</si>
  <si>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</si>
  <si>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</si>
  <si>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</si>
  <si>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</si>
  <si>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</si>
  <si>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</si>
  <si>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</si>
  <si>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</si>
  <si>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</si>
  <si>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</si>
  <si>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</si>
  <si>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</si>
  <si>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</si>
  <si>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</si>
  <si>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</si>
  <si>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</si>
  <si>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</si>
  <si>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</si>
  <si>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</si>
  <si>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</si>
  <si>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</si>
  <si>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</si>
  <si>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</si>
  <si>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y acero van aparte (hormigón a 95 €/m³). ¿A qué precio está el acero B500S suministrado en obra?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</si>
  <si>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</si>
  <si>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</si>
  <si>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¿Las 32 € son por placa suministrada y colocada, con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</si>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</sst>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s="8" customFormat="true" ht="15" hidden="false" customHeight="false" outlineLevel="0" collapsed="false">
      <c r="B11" s="9" t="s">
        <v>23</v>
      </c>
      <c r="G11" s="10" t="n">
        <f aca="false">SUM(G5:G10)</f>
        <v>6885.3</v>
      </c>
    </row>
    <row r="12" customFormat="false" ht="15" hidden="false" customHeight="false" outlineLevel="0" collapsed="false">
      <c r="B12" s="11" t="s">
        <v>24</v>
      </c>
    </row>
    <row r="14" customFormat="false" ht="15" hidden="false" customHeight="false" outlineLevel="0" collapsed="false">
      <c r="A14" s="12" t="s">
        <v>25</v>
      </c>
    </row>
    <row r="15" customFormat="false" ht="42" hidden="false" customHeight="true" outlineLevel="0" collapsed="false">
      <c r="A15" s="13" t="s">
        <v>26</v>
      </c>
      <c r="B15" s="13"/>
      <c r="C15" s="13"/>
      <c r="D15" s="13"/>
      <c r="E15" s="13"/>
      <c r="F15" s="13"/>
      <c r="G15" s="13"/>
    </row>
    <row r="16" customFormat="false" ht="19.5" hidden="false" customHeight="true" outlineLevel="0" collapsed="false">
      <c r="A16" s="3"/>
      <c r="B16" s="3" t="s">
        <v>3</v>
      </c>
      <c r="C16" s="3" t="s">
        <v>27</v>
      </c>
      <c r="D16" s="3" t="s">
        <v>5</v>
      </c>
      <c r="E16" s="3" t="s">
        <v>6</v>
      </c>
      <c r="F16" s="3" t="s">
        <v>7</v>
      </c>
      <c r="G16" s="3" t="s">
        <v>8</v>
      </c>
    </row>
    <row r="17" customFormat="false" ht="23.85" hidden="false" customHeight="false" outlineLevel="0" collapsed="false">
      <c r="A17" s="4"/>
      <c r="B17" s="4" t="s">
        <v>28</v>
      </c>
      <c r="C17" s="4" t="s">
        <v>29</v>
      </c>
      <c r="D17" s="4" t="s">
        <v>16</v>
      </c>
      <c r="E17" s="5" t="n">
        <f aca="false">E7+E8</f>
        <v>37</v>
      </c>
      <c r="F17" s="6" t="n">
        <v>95</v>
      </c>
      <c r="G17" s="7" t="n">
        <f aca="false">IF(F17="","",E17*F17)</f>
        <v>3515</v>
      </c>
    </row>
    <row r="18" customFormat="false" ht="35.05" hidden="false" customHeight="false" outlineLevel="0" collapsed="false">
      <c r="A18" s="4"/>
      <c r="B18" s="4" t="s">
        <v>30</v>
      </c>
      <c r="C18" s="4" t="s">
        <v>31</v>
      </c>
      <c r="D18" s="4" t="s">
        <v>19</v>
      </c>
      <c r="E18" s="5" t="n">
        <f aca="false">E9</f>
        <v>3000</v>
      </c>
      <c r="F18" s="6"/>
      <c r="G18" s="7" t="str">
        <f aca="false">IF(F18="","",E18*F18)</f>
        <v/>
      </c>
    </row>
    <row r="19" customFormat="false" ht="35.05" hidden="false" customHeight="false" outlineLevel="0" collapsed="false">
      <c r="A19" s="4"/>
      <c r="B19" s="4" t="s">
        <v>32</v>
      </c>
      <c r="C19" s="4" t="s">
        <v>33</v>
      </c>
      <c r="D19" s="4" t="s">
        <v>34</v>
      </c>
      <c r="E19" s="5" t="n">
        <f aca="false">10*(0.75+0.9+0.9+0.75)+2*8.5*0.75</f>
        <v>45.75</v>
      </c>
      <c r="F19" s="6"/>
      <c r="G19" s="7" t="str">
        <f aca="false">IF(F19="","",E19*F19)</f>
        <v/>
      </c>
    </row>
    <row r="20" customFormat="false" ht="15" hidden="false" customHeight="false" outlineLevel="0" collapsed="false">
      <c r="A20" s="4"/>
      <c r="B20" s="4" t="s">
        <v>35</v>
      </c>
      <c r="C20" s="4" t="s">
        <v>36</v>
      </c>
      <c r="D20" s="4" t="s">
        <v>16</v>
      </c>
      <c r="E20" s="5"/>
      <c r="F20" s="6"/>
      <c r="G20" s="7" t="str">
        <f aca="false">IF(F20="","",E20*F20)</f>
        <v/>
      </c>
    </row>
    <row r="21" customFormat="false" ht="15" hidden="false" customHeight="false" outlineLevel="0" collapsed="false">
      <c r="A21" s="4"/>
      <c r="B21" s="4" t="s">
        <v>37</v>
      </c>
      <c r="C21" s="4" t="s">
        <v>38</v>
      </c>
      <c r="D21" s="4" t="s">
        <v>34</v>
      </c>
      <c r="E21" s="5"/>
      <c r="F21" s="6"/>
      <c r="G21" s="7" t="str">
        <f aca="false">IF(F21="","",E21*F21)</f>
        <v/>
      </c>
    </row>
    <row r="22" customFormat="false" ht="15" hidden="false" customHeight="false" outlineLevel="0" collapsed="false">
      <c r="A22" s="4"/>
      <c r="B22" s="4" t="s">
        <v>39</v>
      </c>
      <c r="C22" s="4" t="s">
        <v>40</v>
      </c>
      <c r="D22" s="4" t="s">
        <v>22</v>
      </c>
      <c r="E22" s="5"/>
      <c r="F22" s="6"/>
      <c r="G22" s="7" t="str">
        <f aca="false">IF(F22="","",E22*F22)</f>
        <v/>
      </c>
    </row>
    <row r="23" customFormat="false" ht="15" hidden="false" customHeight="false" outlineLevel="0" collapsed="false">
      <c r="A23" s="4"/>
      <c r="B23" s="4" t="s">
        <v>41</v>
      </c>
      <c r="C23" s="4" t="s">
        <v>42</v>
      </c>
      <c r="D23" s="4" t="s">
        <v>22</v>
      </c>
      <c r="E23" s="5"/>
      <c r="F23" s="6"/>
      <c r="G23" s="7" t="str">
        <f aca="false">IF(F23="","",E23*F23)</f>
        <v/>
      </c>
    </row>
    <row r="24" s="14" customFormat="true" ht="15" hidden="false" customHeight="false" outlineLevel="0" collapsed="false">
      <c r="B24" s="14" t="s">
        <v>43</v>
      </c>
      <c r="G24" s="15" t="n">
        <f aca="false">SUM(G17:G23)</f>
        <v>3515</v>
      </c>
    </row>
    <row r="25" s="8" customFormat="true" ht="15" hidden="false" customHeight="false" outlineLevel="0" collapsed="false">
      <c r="B25" s="9" t="s">
        <v>44</v>
      </c>
      <c r="G25" s="10" t="n">
        <f aca="false">G11+G24</f>
        <v>10400.3</v>
      </c>
    </row>
  </sheetData>
  <mergeCells count="1">
    <mergeCell ref="A15:G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9.5" hidden="false" customHeight="true" outlineLevel="0" collapsed="false">
      <c r="A4" s="3" t="s">
        <v>47</v>
      </c>
      <c r="B4" s="3" t="s">
        <v>48</v>
      </c>
      <c r="C4" s="3" t="s">
        <v>49</v>
      </c>
      <c r="D4" s="3" t="s">
        <v>50</v>
      </c>
      <c r="E4" s="3" t="s">
        <v>51</v>
      </c>
    </row>
    <row r="5" customFormat="false" ht="15" hidden="false" customHeight="false" outlineLevel="0" collapsed="false">
      <c r="A5" s="4" t="s">
        <v>52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53</v>
      </c>
    </row>
    <row r="6" customFormat="false" ht="35.05" hidden="false" customHeight="false" outlineLevel="0" collapsed="false">
      <c r="A6" s="4" t="s">
        <v>54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55</v>
      </c>
    </row>
    <row r="7" customFormat="false" ht="15" hidden="false" customHeight="false" outlineLevel="0" collapsed="false">
      <c r="A7" s="4" t="s">
        <v>56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57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58</v>
      </c>
    </row>
    <row r="9" customFormat="false" ht="15" hidden="false" customHeight="false" outlineLevel="0" collapsed="false">
      <c r="A9" s="4" t="s">
        <v>59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60</v>
      </c>
    </row>
    <row r="10" customFormat="false" ht="35.05" hidden="false" customHeight="false" outlineLevel="0" collapsed="false">
      <c r="A10" s="4" t="s">
        <v>61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62</v>
      </c>
    </row>
    <row r="11" customFormat="false" ht="15" hidden="false" customHeight="false" outlineLevel="0" collapsed="false">
      <c r="A11" s="4" t="s">
        <v>63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64</v>
      </c>
      <c r="B12" s="16" t="n">
        <v>7.95</v>
      </c>
      <c r="C12" s="16" t="n">
        <v>6.9</v>
      </c>
      <c r="D12" s="16" t="n">
        <f aca="false">B12-C12</f>
        <v>1.05</v>
      </c>
      <c r="E12" s="4" t="s">
        <v>65</v>
      </c>
    </row>
    <row r="14" customFormat="false" ht="15" hidden="false" customHeight="false" outlineLevel="0" collapsed="false">
      <c r="A14" s="12" t="s">
        <v>66</v>
      </c>
    </row>
    <row r="15" customFormat="false" ht="15" hidden="false" customHeight="true" outlineLevel="0" collapsed="false">
      <c r="A15" s="4" t="s">
        <v>67</v>
      </c>
      <c r="B15" s="4" t="s">
        <v>68</v>
      </c>
      <c r="C15" s="4"/>
      <c r="D15" s="4"/>
      <c r="E15" s="4"/>
    </row>
    <row r="16" customFormat="false" ht="15" hidden="false" customHeight="true" outlineLevel="0" collapsed="false">
      <c r="A16" s="4" t="s">
        <v>69</v>
      </c>
      <c r="B16" s="4" t="s">
        <v>70</v>
      </c>
      <c r="C16" s="4"/>
      <c r="D16" s="4"/>
      <c r="E16" s="4"/>
    </row>
    <row r="17" customFormat="false" ht="15" hidden="false" customHeight="true" outlineLevel="0" collapsed="false">
      <c r="A17" s="4" t="s">
        <v>71</v>
      </c>
      <c r="B17" s="4" t="s">
        <v>72</v>
      </c>
      <c r="C17" s="4"/>
      <c r="D17" s="4"/>
      <c r="E17" s="4"/>
    </row>
    <row r="18" customFormat="false" ht="15" hidden="false" customHeight="true" outlineLevel="0" collapsed="false">
      <c r="A18" s="4" t="s">
        <v>73</v>
      </c>
      <c r="B18" s="4" t="s">
        <v>74</v>
      </c>
      <c r="C18" s="4"/>
      <c r="D18" s="4"/>
      <c r="E18" s="4"/>
    </row>
    <row r="19" customFormat="false" ht="15" hidden="false" customHeight="false" outlineLevel="0" collapsed="false">
      <c r="A19" s="4" t="s">
        <v>75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76</v>
      </c>
    </row>
    <row r="22" customFormat="false" ht="19.5" hidden="false" customHeight="true" outlineLevel="0" collapsed="false">
      <c r="A22" s="3" t="s">
        <v>3</v>
      </c>
      <c r="B22" s="3" t="s">
        <v>77</v>
      </c>
      <c r="C22" s="3" t="s">
        <v>78</v>
      </c>
      <c r="D22" s="3" t="s">
        <v>79</v>
      </c>
      <c r="E22" s="3" t="s">
        <v>8</v>
      </c>
    </row>
    <row r="23" customFormat="false" ht="15" hidden="false" customHeight="false" outlineLevel="0" collapsed="false">
      <c r="A23" s="4" t="s">
        <v>80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81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82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83</v>
      </c>
      <c r="B26" s="4"/>
      <c r="C26" s="4"/>
      <c r="D26" s="19" t="n">
        <f aca="false">'Presupuesto equipo'!G11/B7</f>
        <v>186.089189189189</v>
      </c>
      <c r="E26" s="7" t="n">
        <f aca="false">'Presupuesto equipo'!G11</f>
        <v>6885.3</v>
      </c>
    </row>
    <row r="27" customFormat="false" ht="30" hidden="false" customHeight="true" outlineLevel="0" collapsed="false">
      <c r="A27" s="20" t="s">
        <v>84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4" t="n">
        <v>1</v>
      </c>
      <c r="B4" s="4" t="s">
        <v>87</v>
      </c>
    </row>
    <row r="5" customFormat="false" ht="23.85" hidden="false" customHeight="false" outlineLevel="0" collapsed="false">
      <c r="A5" s="4" t="n">
        <v>2</v>
      </c>
      <c r="B5" s="4" t="s">
        <v>88</v>
      </c>
    </row>
    <row r="6" customFormat="false" ht="15" hidden="false" customHeight="false" outlineLevel="0" collapsed="false">
      <c r="A6" s="4" t="n">
        <v>3</v>
      </c>
      <c r="B6" s="4" t="s">
        <v>89</v>
      </c>
    </row>
    <row r="7" customFormat="false" ht="23.85" hidden="false" customHeight="false" outlineLevel="0" collapsed="false">
      <c r="A7" s="4" t="n">
        <v>4</v>
      </c>
      <c r="B7" s="4" t="s">
        <v>90</v>
      </c>
    </row>
    <row r="8" customFormat="false" ht="15" hidden="false" customHeight="false" outlineLevel="0" collapsed="false">
      <c r="A8" s="4" t="n">
        <v>5</v>
      </c>
      <c r="B8" s="4" t="s">
        <v>91</v>
      </c>
    </row>
    <row r="9" customFormat="false" ht="23.85" hidden="false" customHeight="false" outlineLevel="0" collapsed="false">
      <c r="A9" s="4" t="n">
        <v>6</v>
      </c>
      <c r="B9" s="4" t="s">
        <v>92</v>
      </c>
    </row>
    <row r="10" customFormat="false" ht="15" hidden="false" customHeight="false" outlineLevel="0" collapsed="false">
      <c r="A10" s="4" t="n">
        <v>7</v>
      </c>
      <c r="B10" s="4" t="s">
        <v>93</v>
      </c>
    </row>
    <row r="11" customFormat="false" ht="15" hidden="false" customHeight="false" outlineLevel="0" collapsed="false">
      <c r="A11" s="4" t="n">
        <v>8</v>
      </c>
      <c r="B11" s="4" t="s">
        <v>94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2026-10-20T12:59:53Z</dcterms:created>
  <dc:creator>RG21 Capital</dc:creator>
  <dc:description/>
  <dc:language>en-US</dc:language>
  <cp:lastModifiedBy>Unknown</cp:lastModifiedBy>
  <dcterms:modified xsi:type="dcterms:W3CDTF">2026-10-20T12:59:53Z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