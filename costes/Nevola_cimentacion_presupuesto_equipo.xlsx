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supuesto equipo" sheetId="1" state="visible" r:id="rId3"/>
    <sheet name="Comprobaciones" sheetId="2" state="visible" r:id="rId4"/>
    <sheet name="Preguntas al equip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<sst xmlns="http://schemas.openxmlformats.org/spreadsheetml/2006/main" count="118" uniqueCount="99">
  <si>
    <t xml:space="preserve">Névola · Cimentación del piloto · Presupuesto del equipo</t>
  </si>
  <si>
    <t xml:space="preserve">Pasado del manuscrito del 20/10/2026 (foto en ofertas-proveedores/). Importes sin IVA. Celdas amarillas: editables.</t>
  </si>
  <si>
    <t xml:space="preserve">Nº</t>
  </si>
  <si>
    <t xml:space="preserve">Partida</t>
  </si>
  <si>
    <t xml:space="preserve">Medición (como en el manuscrito)</t>
  </si>
  <si>
    <t xml:space="preserve">Ud</t>
  </si>
  <si>
    <t xml:space="preserve">Cantidad</t>
  </si>
  <si>
    <t xml:space="preserve">Precio</t>
  </si>
  <si>
    <t xml:space="preserve">Importe</t>
  </si>
  <si>
    <t xml:space="preserve">Muro a dos caras: muros longitudinales</t>
  </si>
  <si>
    <t xml:space="preserve">4 muros × 9,50 m × 2 caras</t>
  </si>
  <si>
    <t xml:space="preserve">ml</t>
  </si>
  <si>
    <t xml:space="preserve">Muro a dos caras: muretes transversales</t>
  </si>
  <si>
    <t xml:space="preserve">2 muretes × 7,95 m × 2 caras</t>
  </si>
  <si>
    <t xml:space="preserve">Vertido de hormigón: muros</t>
  </si>
  <si>
    <t xml:space="preserve">Según el equipo</t>
  </si>
  <si>
    <t xml:space="preserve">m³</t>
  </si>
  <si>
    <t xml:space="preserve">Vertido de hormigón: zapatas</t>
  </si>
  <si>
    <t xml:space="preserve">Hierro elaborado y armado</t>
  </si>
  <si>
    <t xml:space="preserve">kg</t>
  </si>
  <si>
    <t xml:space="preserve">Placas de anclaje</t>
  </si>
  <si>
    <t xml:space="preserve">3 por muro × 4 muros</t>
  </si>
  <si>
    <t xml:space="preserve">ud</t>
  </si>
  <si>
    <t xml:space="preserve">Solera de limpieza (mano de obra)</t>
  </si>
  <si>
    <t xml:space="preserve">Superficie de zapatas del croquis. Añadida por Iván (20/10/2026)</t>
  </si>
  <si>
    <t xml:space="preserve">m²</t>
  </si>
  <si>
    <t xml:space="preserve">Total del presupuesto del equipo</t>
  </si>
  <si>
    <t xml:space="preserve">En el manuscrito: 6.885,00 €, sin la solera de limpieza, que se añadió después. Los céntimos son redondeos del papel (1.144,80 → 1.145 y 610,50 → 610).</t>
  </si>
  <si>
    <t xml:space="preserve">Lo que no aparece en el manuscrito (a confirmar con el equipo)</t>
  </si>
  <si>
    <t xml:space="preserve">Los precios del manuscrito son de mano de obra: encofrado por metro, vertido (no suministro) a 16,50 €/m³ y armado por kg. El hormigón (95 €/m³) y el acero (0,95 €/kg) se suministran aparte. Precios en blanco: rellenar cuando estén confirmados.</t>
  </si>
  <si>
    <t xml:space="preserve">De dónde sale la cantidad</t>
  </si>
  <si>
    <t xml:space="preserve">Suministro de hormigón HA-25</t>
  </si>
  <si>
    <t xml:space="preserve">Los 37 m³ vertidos. Precio de Iván (20/10/2026)</t>
  </si>
  <si>
    <t xml:space="preserve">Suministro de acero B500S</t>
  </si>
  <si>
    <t xml:space="preserve">Los 3.000 kg, aparte de los 0,67 €/kg de elaboración y armado. Precio de Iván (20/10/2026)</t>
  </si>
  <si>
    <t xml:space="preserve">Suministro de placas de anclaje</t>
  </si>
  <si>
    <t xml:space="preserve">Las 12 placas del presupuesto; la colocación va en mano de obra. Precio de Iván (20/10/2026)</t>
  </si>
  <si>
    <t xml:space="preserve">Hormigón de limpieza bajo zapatas</t>
  </si>
  <si>
    <t xml:space="preserve">Superficie de zapatas del croquis: 10,00 × (0,75 + 0,90 + 0,90 + 0,75) + 2 × 8,50 × 0,75. Precio: 10 cm de espesor al precio del hormigón</t>
  </si>
  <si>
    <t xml:space="preserve">Excavación de zanjas y retirada de tierras</t>
  </si>
  <si>
    <t xml:space="preserve">Superficie de zapatas (45,75 m²) × 1,30 m de fondo, como en la estimación A (coronación a −0,05, muro, zapata y limpieza). Sin descontar cruces. Precio de Iván (20/10/2026)</t>
  </si>
  <si>
    <t xml:space="preserve">Grava en la cámara sanitaria</t>
  </si>
  <si>
    <t xml:space="preserve">Huella de planta baja: 7,85 × 9,50 m, sin descontar muros, como en la estimación A. Precio de Iván (20/10/2026)</t>
  </si>
  <si>
    <t xml:space="preserve">Bombeo de hormigón</t>
  </si>
  <si>
    <t xml:space="preserve">Una partida por vivienda. Precio de Iván (20/10/2026)</t>
  </si>
  <si>
    <t xml:space="preserve">Replanteo topográfico</t>
  </si>
  <si>
    <t xml:space="preserve">Ejes de muros y placas, por vivienda. Precio de Iván (20/10/2026)</t>
  </si>
  <si>
    <t xml:space="preserve">Subtotal de lo pendiente (solo lo que tenga precio)</t>
  </si>
  <si>
    <t xml:space="preserve">Total cimentación con lo pendiente</t>
  </si>
  <si>
    <t xml:space="preserve">Comprobaciones del presupuesto del equipo</t>
  </si>
  <si>
    <t xml:space="preserve">Geometría leída del croquis y comparación con nuestra estimación A (web /cimentacion/).</t>
  </si>
  <si>
    <t xml:space="preserve">Concepto</t>
  </si>
  <si>
    <t xml:space="preserve">Equipo</t>
  </si>
  <si>
    <t xml:space="preserve">Estimación A</t>
  </si>
  <si>
    <t xml:space="preserve">Diferencia</t>
  </si>
  <si>
    <t xml:space="preserve">Comentario</t>
  </si>
  <si>
    <t xml:space="preserve">Hormigón en muros (m³)</t>
  </si>
  <si>
    <t xml:space="preserve">Equipo: muros de 0,70 m de alto; nosotros 0,65 m.</t>
  </si>
  <si>
    <t xml:space="preserve">Hormigón en zapatas (m³)</t>
  </si>
  <si>
    <t xml:space="preserve">Croquis: zapatas de 0,75 y 0,90 m de ancho. Nosotros 0,80 y 1,00 m, y zapata común de 1,20 m en la medianera.</t>
  </si>
  <si>
    <t xml:space="preserve">Hormigón total (m³)</t>
  </si>
  <si>
    <t xml:space="preserve">Acero (kg)</t>
  </si>
  <si>
    <t xml:space="preserve">Nosotros: 50 kg/m³ en zapatas y 75 kg/m³ en muros.</t>
  </si>
  <si>
    <t xml:space="preserve">Cuantía de acero (kg/m³)</t>
  </si>
  <si>
    <t xml:space="preserve">Razonable en los dos casos para cimentación corrida.</t>
  </si>
  <si>
    <t xml:space="preserve">Placas de anclaje (ud)</t>
  </si>
  <si>
    <t xml:space="preserve">Nosotros ponemos 2 placas en cada eje de los muros interiores (una por módulo): 18. El croquis tiene 3 por muro: 12.</t>
  </si>
  <si>
    <t xml:space="preserve">Altura de muro (m)</t>
  </si>
  <si>
    <t xml:space="preserve">Longitud de muretes transversales (m)</t>
  </si>
  <si>
    <t xml:space="preserve">En el croquis pone 7,85 y en el cálculo 7,95. Nosotros medimos el murete entre muros.</t>
  </si>
  <si>
    <t xml:space="preserve">Geometría leída del croquis</t>
  </si>
  <si>
    <t xml:space="preserve">Muros longitudinales</t>
  </si>
  <si>
    <t xml:space="preserve">4 × 9,50 m × 0,70 m de alto; espesores 0,25 · 0,30 · 0,30 · 0,25 m</t>
  </si>
  <si>
    <t xml:space="preserve">Muretes transversales</t>
  </si>
  <si>
    <t xml:space="preserve">2 × 7,85 m (7,95 en el cálculo)</t>
  </si>
  <si>
    <t xml:space="preserve">Zapatas longitudinales</t>
  </si>
  <si>
    <t xml:space="preserve">10,00 m de largo; anchos 0,75 · 0,90 · 0,90 · 0,75 m</t>
  </si>
  <si>
    <t xml:space="preserve">Zapatas laterales</t>
  </si>
  <si>
    <t xml:space="preserve">2 × 8,50 × 0,75 m</t>
  </si>
  <si>
    <t xml:space="preserve">Canto de zapata implícito</t>
  </si>
  <si>
    <t xml:space="preserve">Contraste con Menorca Pino (banco de precios, 2024, precios de venta)</t>
  </si>
  <si>
    <t xml:space="preserve">€/m³ 2024</t>
  </si>
  <si>
    <t xml:space="preserve">€/m³ 2026 (+12 %)</t>
  </si>
  <si>
    <t xml:space="preserve">Volumen equipo</t>
  </si>
  <si>
    <t xml:space="preserve">Zapatas corridas, completas</t>
  </si>
  <si>
    <t xml:space="preserve">Muros de cimentación, completos</t>
  </si>
  <si>
    <t xml:space="preserve">Cimentación con precios de Pino</t>
  </si>
  <si>
    <t xml:space="preserve">Presupuesto del equipo, por m³</t>
  </si>
  <si>
    <t xml:space="preserve">Las partidas de Pino incluyen hormigón, acero, encofrado y mano de obra. La diferencia con el equipo es del orden del suministro de hormigón: por eso creemos que el manuscrito es solo mano de obra.</t>
  </si>
  <si>
    <t xml:space="preserve">Preguntas para cerrar el presupuesto</t>
  </si>
  <si>
    <t xml:space="preserve">Antes de darlo por bueno.</t>
  </si>
  <si>
    <t xml:space="preserve">Hormigón (95 €/m³) y acero (0,95 €/kg) van aparte. ¿Confirmáis que vuestro precio no incluye ningún material salvo las placas?</t>
  </si>
  <si>
    <t xml:space="preserve">¿Quién hace y paga la excavación de zanjas, la retirada de tierras, el hormigón de limpieza y la grava de la cámara sanitaria?</t>
  </si>
  <si>
    <t xml:space="preserve">Canto de las zapatas: con 26 m³ sale ≈ 0,57 m. ¿Qué canto han previsto?</t>
  </si>
  <si>
    <t xml:space="preserve">Placas: el croquis tiene 12 (3 por muro). En cada muro interior apoyan dos módulos y cada uno lleva su pilar, así que salen 2 placas por eje: 18 en total. Las 32 € son la colocación; la placa se compra aparte a 220 €. ¿Incluye los pernos?</t>
  </si>
  <si>
    <t xml:space="preserve">Muretes transversales: 7,85 m en el croquis y 7,95 m en el cálculo. ¿Cuál es la buena?</t>
  </si>
  <si>
    <t xml:space="preserve">Medianera: ¿zapata propia de 0,75 m o común con la vivienda vecina, como la planteamos nosotros (1,20 m, mitad por vivienda)?</t>
  </si>
  <si>
    <t xml:space="preserve">Cota de coronación: con el suelo a +0,20, el marco queda a −0,05. ¿Lo tienen en cuenta en la altura de 0,70 m?</t>
  </si>
  <si>
    <t xml:space="preserve">¿Incluye bombeo, desencofrado, curado y limpieza de obra? ¿Plazo de ejecución?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</si>
</sst>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.00&quot; €&quot;"/>
    <numFmt numFmtId="167" formatCode="#,##0"/>
    <numFmt numFmtId="168" formatCode="0.00&quot; m (26 m³ / superficie de zapatas)&quot;"/>
    <numFmt numFmtId="169" formatCode="#,##0.00&quot; €/m³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41414"/>
      <name val="Arial"/>
      <family val="0"/>
      <charset val="1"/>
    </font>
    <font>
      <sz val="10"/>
      <color rgb="FF5E60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8381F"/>
      <name val="Arial"/>
      <family val="0"/>
      <charset val="1"/>
    </font>
    <font>
      <i val="true"/>
      <sz val="9"/>
      <color rgb="FF5E606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1414"/>
        <bgColor rgb="FF000000"/>
      </patternFill>
    </fill>
    <fill>
      <patternFill patternType="solid">
        <fgColor rgb="FFFFF4C2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3C5BF"/>
      </bottom>
      <diagonal/>
    </border>
    <border diagonalUp="false" diagonalDown="false">
      <left/>
      <right/>
      <top style="medium">
        <color rgb="FF14141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5BF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064"/>
      <rgbColor rgb="FF969696"/>
      <rgbColor rgb="FF003366"/>
      <rgbColor rgb="FF339966"/>
      <rgbColor rgb="FF141414"/>
      <rgbColor rgb="FF333300"/>
      <rgbColor rgb="FFC838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6"/>
    <col collapsed="false" customWidth="true" hidden="false" outlineLevel="0" max="6" min="5" style="0" width="11"/>
    <col collapsed="false" customWidth="true" hidden="false" outlineLevel="0" max="7" min="7" style="0" width="13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4" t="s">
        <v>10</v>
      </c>
      <c r="D5" s="4" t="s">
        <v>11</v>
      </c>
      <c r="E5" s="5" t="n">
        <f aca="false">4*9.5*2</f>
        <v>76</v>
      </c>
      <c r="F5" s="6" t="n">
        <v>36</v>
      </c>
      <c r="G5" s="7" t="n">
        <f aca="false">E5*F5</f>
        <v>2736</v>
      </c>
    </row>
    <row r="6" customFormat="false" ht="15" hidden="false" customHeight="false" outlineLevel="0" collapsed="false">
      <c r="A6" s="4" t="n">
        <v>2</v>
      </c>
      <c r="B6" s="4" t="s">
        <v>12</v>
      </c>
      <c r="C6" s="4" t="s">
        <v>13</v>
      </c>
      <c r="D6" s="4" t="s">
        <v>11</v>
      </c>
      <c r="E6" s="5" t="n">
        <f aca="false">2*7.95*2</f>
        <v>31.8</v>
      </c>
      <c r="F6" s="6" t="n">
        <v>36</v>
      </c>
      <c r="G6" s="7" t="n">
        <f aca="false">E6*F6</f>
        <v>1144.8</v>
      </c>
    </row>
    <row r="7" customFormat="false" ht="15" hidden="false" customHeight="false" outlineLevel="0" collapsed="false">
      <c r="A7" s="4" t="n">
        <v>3</v>
      </c>
      <c r="B7" s="4" t="s">
        <v>14</v>
      </c>
      <c r="C7" s="4" t="s">
        <v>15</v>
      </c>
      <c r="D7" s="4" t="s">
        <v>16</v>
      </c>
      <c r="E7" s="5" t="n">
        <v>11</v>
      </c>
      <c r="F7" s="6" t="n">
        <v>16.5</v>
      </c>
      <c r="G7" s="7" t="n">
        <f aca="false">E7*F7</f>
        <v>181.5</v>
      </c>
    </row>
    <row r="8" customFormat="false" ht="15" hidden="false" customHeight="false" outlineLevel="0" collapsed="false">
      <c r="A8" s="4" t="n">
        <v>4</v>
      </c>
      <c r="B8" s="4" t="s">
        <v>17</v>
      </c>
      <c r="C8" s="4" t="s">
        <v>15</v>
      </c>
      <c r="D8" s="4" t="s">
        <v>16</v>
      </c>
      <c r="E8" s="5" t="n">
        <v>26</v>
      </c>
      <c r="F8" s="6" t="n">
        <v>16.5</v>
      </c>
      <c r="G8" s="7" t="n">
        <f aca="false">E8*F8</f>
        <v>429</v>
      </c>
    </row>
    <row r="9" customFormat="false" ht="15" hidden="false" customHeight="false" outlineLevel="0" collapsed="false">
      <c r="A9" s="4" t="n">
        <v>5</v>
      </c>
      <c r="B9" s="4" t="s">
        <v>18</v>
      </c>
      <c r="C9" s="4" t="s">
        <v>15</v>
      </c>
      <c r="D9" s="4" t="s">
        <v>19</v>
      </c>
      <c r="E9" s="5" t="n">
        <v>3000</v>
      </c>
      <c r="F9" s="6" t="n">
        <v>0.67</v>
      </c>
      <c r="G9" s="7" t="n">
        <f aca="false">E9*F9</f>
        <v>2010</v>
      </c>
    </row>
    <row r="10" customFormat="false" ht="15" hidden="false" customHeight="false" outlineLevel="0" collapsed="false">
      <c r="A10" s="4" t="n">
        <v>6</v>
      </c>
      <c r="B10" s="4" t="s">
        <v>20</v>
      </c>
      <c r="C10" s="4" t="s">
        <v>21</v>
      </c>
      <c r="D10" s="4" t="s">
        <v>22</v>
      </c>
      <c r="E10" s="5" t="n">
        <v>12</v>
      </c>
      <c r="F10" s="6" t="n">
        <v>32</v>
      </c>
      <c r="G10" s="7" t="n">
        <f aca="false">E10*F10</f>
        <v>384</v>
      </c>
    </row>
    <row r="11" customFormat="false" ht="23.85" hidden="false" customHeight="false" outlineLevel="0" collapsed="false">
      <c r="A11" s="4" t="n">
        <v>7</v>
      </c>
      <c r="B11" s="4" t="s">
        <v>23</v>
      </c>
      <c r="C11" s="4" t="s">
        <v>24</v>
      </c>
      <c r="D11" s="4" t="s">
        <v>25</v>
      </c>
      <c r="E11" s="5" t="n">
        <f aca="false">10*(0.75+0.9+0.9+0.75)+2*8.5*0.75</f>
        <v>45.75</v>
      </c>
      <c r="F11" s="6" t="n">
        <v>11</v>
      </c>
      <c r="G11" s="7" t="n">
        <f aca="false">E11*F11</f>
        <v>503.25</v>
      </c>
    </row>
    <row r="12" s="8" customFormat="true" ht="15" hidden="false" customHeight="false" outlineLevel="0" collapsed="false">
      <c r="B12" s="9" t="s">
        <v>26</v>
      </c>
      <c r="G12" s="10" t="n">
        <f aca="false">SUM(G5:G11)</f>
        <v>7388.55</v>
      </c>
    </row>
    <row r="13" customFormat="false" ht="15" hidden="false" customHeight="false" outlineLevel="0" collapsed="false">
      <c r="B13" s="11" t="s">
        <v>27</v>
      </c>
    </row>
    <row r="15" customFormat="false" ht="15" hidden="false" customHeight="false" outlineLevel="0" collapsed="false">
      <c r="A15" s="12" t="s">
        <v>28</v>
      </c>
    </row>
    <row r="16" customFormat="false" ht="42" hidden="false" customHeight="true" outlineLevel="0" collapsed="false">
      <c r="A16" s="13" t="s">
        <v>29</v>
      </c>
      <c r="B16" s="13"/>
      <c r="C16" s="13"/>
      <c r="D16" s="13"/>
      <c r="E16" s="13"/>
      <c r="F16" s="13"/>
      <c r="G16" s="13"/>
    </row>
    <row r="17" customFormat="false" ht="19.5" hidden="false" customHeight="true" outlineLevel="0" collapsed="false">
      <c r="A17" s="3"/>
      <c r="B17" s="3" t="s">
        <v>3</v>
      </c>
      <c r="C17" s="3" t="s">
        <v>30</v>
      </c>
      <c r="D17" s="3" t="s">
        <v>5</v>
      </c>
      <c r="E17" s="3" t="s">
        <v>6</v>
      </c>
      <c r="F17" s="3" t="s">
        <v>7</v>
      </c>
      <c r="G17" s="3" t="s">
        <v>8</v>
      </c>
    </row>
    <row r="18" customFormat="false" ht="23.85" hidden="false" customHeight="false" outlineLevel="0" collapsed="false">
      <c r="A18" s="4"/>
      <c r="B18" s="4" t="s">
        <v>31</v>
      </c>
      <c r="C18" s="4" t="s">
        <v>32</v>
      </c>
      <c r="D18" s="4" t="s">
        <v>16</v>
      </c>
      <c r="E18" s="5" t="n">
        <f aca="false">E7+E8</f>
        <v>37</v>
      </c>
      <c r="F18" s="6" t="n">
        <v>115</v>
      </c>
      <c r="G18" s="7" t="n">
        <f aca="false">IF(F18="","",E18*F18)</f>
        <v>4255</v>
      </c>
    </row>
    <row r="19" customFormat="false" ht="35.05" hidden="false" customHeight="false" outlineLevel="0" collapsed="false">
      <c r="A19" s="4"/>
      <c r="B19" s="4" t="s">
        <v>33</v>
      </c>
      <c r="C19" s="4" t="s">
        <v>34</v>
      </c>
      <c r="D19" s="4" t="s">
        <v>19</v>
      </c>
      <c r="E19" s="5" t="n">
        <f aca="false">E9</f>
        <v>3000</v>
      </c>
      <c r="F19" s="6" t="n">
        <v>0.95</v>
      </c>
      <c r="G19" s="7" t="n">
        <f aca="false">IF(F19="","",E19*F19)</f>
        <v>2850</v>
      </c>
    </row>
    <row r="20" customFormat="false" ht="35.05" hidden="false" customHeight="false" outlineLevel="0" collapsed="false">
      <c r="A20" s="4"/>
      <c r="B20" s="4" t="s">
        <v>35</v>
      </c>
      <c r="C20" s="4" t="s">
        <v>36</v>
      </c>
      <c r="D20" s="4" t="s">
        <v>22</v>
      </c>
      <c r="E20" s="5" t="n">
        <f aca="false">E10</f>
        <v>12</v>
      </c>
      <c r="F20" s="6" t="n">
        <v>220</v>
      </c>
      <c r="G20" s="7" t="n">
        <f aca="false">IF(F20="","",E20*F20)</f>
        <v>2640</v>
      </c>
    </row>
    <row r="21" customFormat="false" ht="46.25" hidden="false" customHeight="false" outlineLevel="0" collapsed="false">
      <c r="A21" s="4"/>
      <c r="B21" s="4" t="s">
        <v>37</v>
      </c>
      <c r="C21" s="4" t="s">
        <v>38</v>
      </c>
      <c r="D21" s="4" t="s">
        <v>25</v>
      </c>
      <c r="E21" s="5" t="n">
        <f aca="false">10*(0.75+0.9+0.9+0.75)+2*8.5*0.75</f>
        <v>45.75</v>
      </c>
      <c r="F21" s="6" t="n">
        <f aca="false">0.1*F18</f>
        <v>11.5</v>
      </c>
      <c r="G21" s="7" t="n">
        <f aca="false">IF(F21="","",E21*F21)</f>
        <v>526.125</v>
      </c>
    </row>
    <row r="22" customFormat="false" ht="68.65" hidden="false" customHeight="false" outlineLevel="0" collapsed="false">
      <c r="A22" s="4"/>
      <c r="B22" s="4" t="s">
        <v>39</v>
      </c>
      <c r="C22" s="4" t="s">
        <v>40</v>
      </c>
      <c r="D22" s="4" t="s">
        <v>16</v>
      </c>
      <c r="E22" s="5" t="n">
        <f aca="false">(10*(0.75+0.9+0.9+0.75)+2*8.5*0.75)*1.3</f>
        <v>59.475</v>
      </c>
      <c r="F22" s="6" t="n">
        <v>18</v>
      </c>
      <c r="G22" s="7" t="n">
        <f aca="false">IF(F22="","",E22*F22)</f>
        <v>1070.55</v>
      </c>
    </row>
    <row r="23" customFormat="false" ht="46.25" hidden="false" customHeight="false" outlineLevel="0" collapsed="false">
      <c r="A23" s="4"/>
      <c r="B23" s="4" t="s">
        <v>41</v>
      </c>
      <c r="C23" s="4" t="s">
        <v>42</v>
      </c>
      <c r="D23" s="4" t="s">
        <v>25</v>
      </c>
      <c r="E23" s="5" t="n">
        <f aca="false">7.85*9.5</f>
        <v>74.575</v>
      </c>
      <c r="F23" s="6" t="n">
        <v>12</v>
      </c>
      <c r="G23" s="7" t="n">
        <f aca="false">IF(F23="","",E23*F23)</f>
        <v>894.9</v>
      </c>
    </row>
    <row r="24" customFormat="false" ht="23.85" hidden="false" customHeight="false" outlineLevel="0" collapsed="false">
      <c r="A24" s="4"/>
      <c r="B24" s="4" t="s">
        <v>43</v>
      </c>
      <c r="C24" s="4" t="s">
        <v>44</v>
      </c>
      <c r="D24" s="4" t="s">
        <v>22</v>
      </c>
      <c r="E24" s="5" t="n">
        <f aca="false">1</f>
        <v>1</v>
      </c>
      <c r="F24" s="6" t="n">
        <v>250</v>
      </c>
      <c r="G24" s="7" t="n">
        <f aca="false">IF(F24="","",E24*F24)</f>
        <v>250</v>
      </c>
    </row>
    <row r="25" customFormat="false" ht="35.05" hidden="false" customHeight="false" outlineLevel="0" collapsed="false">
      <c r="A25" s="4"/>
      <c r="B25" s="4" t="s">
        <v>45</v>
      </c>
      <c r="C25" s="4" t="s">
        <v>46</v>
      </c>
      <c r="D25" s="4" t="s">
        <v>22</v>
      </c>
      <c r="E25" s="5" t="n">
        <f aca="false">1</f>
        <v>1</v>
      </c>
      <c r="F25" s="6" t="n">
        <v>300</v>
      </c>
      <c r="G25" s="7" t="n">
        <f aca="false">IF(F25="","",E25*F25)</f>
        <v>300</v>
      </c>
    </row>
    <row r="26" s="14" customFormat="true" ht="15" hidden="false" customHeight="false" outlineLevel="0" collapsed="false">
      <c r="B26" s="14" t="s">
        <v>47</v>
      </c>
      <c r="G26" s="15" t="n">
        <f aca="false">SUM(G18:G25)</f>
        <v>12786.575</v>
      </c>
    </row>
    <row r="27" s="8" customFormat="true" ht="15" hidden="false" customHeight="false" outlineLevel="0" collapsed="false">
      <c r="B27" s="9" t="s">
        <v>48</v>
      </c>
      <c r="G27" s="10" t="n">
        <f aca="false">G12+G26</f>
        <v>20175.125</v>
      </c>
    </row>
  </sheetData>
  <mergeCells count="1">
    <mergeCell ref="A16:G1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46"/>
  </cols>
  <sheetData>
    <row r="1" customFormat="false" ht="18.5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9.5" hidden="false" customHeight="true" outlineLevel="0" collapsed="false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</row>
    <row r="5" customFormat="false" ht="15" hidden="false" customHeight="false" outlineLevel="0" collapsed="false">
      <c r="A5" s="4" t="s">
        <v>56</v>
      </c>
      <c r="B5" s="16" t="n">
        <f aca="false">'Presupuesto equipo'!E7</f>
        <v>11</v>
      </c>
      <c r="C5" s="16" t="n">
        <v>8.58</v>
      </c>
      <c r="D5" s="16" t="n">
        <f aca="false">B5-C5</f>
        <v>2.42</v>
      </c>
      <c r="E5" s="4" t="s">
        <v>57</v>
      </c>
    </row>
    <row r="6" customFormat="false" ht="35.05" hidden="false" customHeight="false" outlineLevel="0" collapsed="false">
      <c r="A6" s="4" t="s">
        <v>58</v>
      </c>
      <c r="B6" s="16" t="n">
        <f aca="false">'Presupuesto equipo'!E8</f>
        <v>26</v>
      </c>
      <c r="C6" s="16" t="n">
        <v>20.48</v>
      </c>
      <c r="D6" s="16" t="n">
        <f aca="false">B6-C6</f>
        <v>5.52</v>
      </c>
      <c r="E6" s="4" t="s">
        <v>59</v>
      </c>
    </row>
    <row r="7" customFormat="false" ht="15" hidden="false" customHeight="false" outlineLevel="0" collapsed="false">
      <c r="A7" s="4" t="s">
        <v>60</v>
      </c>
      <c r="B7" s="16" t="n">
        <f aca="false">B5+B6</f>
        <v>37</v>
      </c>
      <c r="C7" s="16" t="n">
        <f aca="false">C5+C6</f>
        <v>29.06</v>
      </c>
      <c r="D7" s="16" t="n">
        <f aca="false">B7-C7</f>
        <v>7.94</v>
      </c>
      <c r="E7" s="4"/>
    </row>
    <row r="8" customFormat="false" ht="15" hidden="false" customHeight="false" outlineLevel="0" collapsed="false">
      <c r="A8" s="4" t="s">
        <v>61</v>
      </c>
      <c r="B8" s="17" t="n">
        <f aca="false">'Presupuesto equipo'!E9</f>
        <v>3000</v>
      </c>
      <c r="C8" s="17" t="n">
        <v>1667</v>
      </c>
      <c r="D8" s="17" t="n">
        <f aca="false">B8-C8</f>
        <v>1333</v>
      </c>
      <c r="E8" s="4" t="s">
        <v>62</v>
      </c>
    </row>
    <row r="9" customFormat="false" ht="15" hidden="false" customHeight="false" outlineLevel="0" collapsed="false">
      <c r="A9" s="4" t="s">
        <v>63</v>
      </c>
      <c r="B9" s="16" t="n">
        <f aca="false">B8/B7</f>
        <v>81.0810810810811</v>
      </c>
      <c r="C9" s="16" t="n">
        <f aca="false">C8/C7</f>
        <v>57.3640743289745</v>
      </c>
      <c r="D9" s="16" t="n">
        <f aca="false">B9-C9</f>
        <v>23.7170067521066</v>
      </c>
      <c r="E9" s="4" t="s">
        <v>64</v>
      </c>
    </row>
    <row r="10" customFormat="false" ht="35.05" hidden="false" customHeight="false" outlineLevel="0" collapsed="false">
      <c r="A10" s="4" t="s">
        <v>65</v>
      </c>
      <c r="B10" s="17" t="n">
        <f aca="false">'Presupuesto equipo'!E10</f>
        <v>12</v>
      </c>
      <c r="C10" s="17" t="n">
        <v>18</v>
      </c>
      <c r="D10" s="17" t="n">
        <f aca="false">B10-C10</f>
        <v>-6</v>
      </c>
      <c r="E10" s="4" t="s">
        <v>66</v>
      </c>
    </row>
    <row r="11" customFormat="false" ht="15" hidden="false" customHeight="false" outlineLevel="0" collapsed="false">
      <c r="A11" s="4" t="s">
        <v>67</v>
      </c>
      <c r="B11" s="16" t="n">
        <v>0.7</v>
      </c>
      <c r="C11" s="16" t="n">
        <v>0.65</v>
      </c>
      <c r="D11" s="16" t="n">
        <f aca="false">B11-C11</f>
        <v>0.0499999999999999</v>
      </c>
      <c r="E11" s="4"/>
    </row>
    <row r="12" customFormat="false" ht="23.85" hidden="false" customHeight="false" outlineLevel="0" collapsed="false">
      <c r="A12" s="4" t="s">
        <v>68</v>
      </c>
      <c r="B12" s="16" t="n">
        <v>7.95</v>
      </c>
      <c r="C12" s="16" t="n">
        <v>6.9</v>
      </c>
      <c r="D12" s="16" t="n">
        <f aca="false">B12-C12</f>
        <v>1.05</v>
      </c>
      <c r="E12" s="4" t="s">
        <v>69</v>
      </c>
    </row>
    <row r="14" customFormat="false" ht="15" hidden="false" customHeight="false" outlineLevel="0" collapsed="false">
      <c r="A14" s="12" t="s">
        <v>70</v>
      </c>
    </row>
    <row r="15" customFormat="false" ht="15" hidden="false" customHeight="true" outlineLevel="0" collapsed="false">
      <c r="A15" s="4" t="s">
        <v>71</v>
      </c>
      <c r="B15" s="4" t="s">
        <v>72</v>
      </c>
      <c r="C15" s="4"/>
      <c r="D15" s="4"/>
      <c r="E15" s="4"/>
    </row>
    <row r="16" customFormat="false" ht="15" hidden="false" customHeight="true" outlineLevel="0" collapsed="false">
      <c r="A16" s="4" t="s">
        <v>73</v>
      </c>
      <c r="B16" s="4" t="s">
        <v>74</v>
      </c>
      <c r="C16" s="4"/>
      <c r="D16" s="4"/>
      <c r="E16" s="4"/>
    </row>
    <row r="17" customFormat="false" ht="15" hidden="false" customHeight="true" outlineLevel="0" collapsed="false">
      <c r="A17" s="4" t="s">
        <v>75</v>
      </c>
      <c r="B17" s="4" t="s">
        <v>76</v>
      </c>
      <c r="C17" s="4"/>
      <c r="D17" s="4"/>
      <c r="E17" s="4"/>
    </row>
    <row r="18" customFormat="false" ht="15" hidden="false" customHeight="true" outlineLevel="0" collapsed="false">
      <c r="A18" s="4" t="s">
        <v>77</v>
      </c>
      <c r="B18" s="4" t="s">
        <v>78</v>
      </c>
      <c r="C18" s="4"/>
      <c r="D18" s="4"/>
      <c r="E18" s="4"/>
    </row>
    <row r="19" customFormat="false" ht="15" hidden="false" customHeight="false" outlineLevel="0" collapsed="false">
      <c r="A19" s="4" t="s">
        <v>79</v>
      </c>
      <c r="B19" s="18" t="n">
        <f aca="false">B6/(10*(0.75+0.9+0.9+0.75)+2*8.5*0.75)</f>
        <v>0.568306010928962</v>
      </c>
      <c r="C19" s="18"/>
      <c r="D19" s="18"/>
      <c r="E19" s="18"/>
    </row>
    <row r="21" customFormat="false" ht="15" hidden="false" customHeight="false" outlineLevel="0" collapsed="false">
      <c r="A21" s="12" t="s">
        <v>80</v>
      </c>
    </row>
    <row r="22" customFormat="false" ht="19.5" hidden="false" customHeight="true" outlineLevel="0" collapsed="false">
      <c r="A22" s="3" t="s">
        <v>3</v>
      </c>
      <c r="B22" s="3" t="s">
        <v>81</v>
      </c>
      <c r="C22" s="3" t="s">
        <v>82</v>
      </c>
      <c r="D22" s="3" t="s">
        <v>83</v>
      </c>
      <c r="E22" s="3" t="s">
        <v>8</v>
      </c>
    </row>
    <row r="23" customFormat="false" ht="15" hidden="false" customHeight="false" outlineLevel="0" collapsed="false">
      <c r="A23" s="4" t="s">
        <v>84</v>
      </c>
      <c r="B23" s="7" t="n">
        <v>254</v>
      </c>
      <c r="C23" s="7" t="n">
        <f aca="false">B23*1.12</f>
        <v>284.48</v>
      </c>
      <c r="D23" s="16" t="n">
        <f aca="false">B6</f>
        <v>26</v>
      </c>
      <c r="E23" s="7" t="n">
        <f aca="false">C23*D23</f>
        <v>7396.48</v>
      </c>
    </row>
    <row r="24" customFormat="false" ht="15" hidden="false" customHeight="false" outlineLevel="0" collapsed="false">
      <c r="A24" s="4" t="s">
        <v>85</v>
      </c>
      <c r="B24" s="7" t="n">
        <v>251.99</v>
      </c>
      <c r="C24" s="7" t="n">
        <f aca="false">B24*1.12</f>
        <v>282.2288</v>
      </c>
      <c r="D24" s="16" t="n">
        <f aca="false">B5</f>
        <v>11</v>
      </c>
      <c r="E24" s="7" t="n">
        <f aca="false">C24*D24</f>
        <v>3104.5168</v>
      </c>
    </row>
    <row r="25" s="14" customFormat="true" ht="15" hidden="false" customHeight="false" outlineLevel="0" collapsed="false">
      <c r="A25" s="14" t="s">
        <v>86</v>
      </c>
      <c r="E25" s="15" t="n">
        <f aca="false">E23+E24</f>
        <v>10500.9968</v>
      </c>
    </row>
    <row r="26" customFormat="false" ht="15" hidden="false" customHeight="false" outlineLevel="0" collapsed="false">
      <c r="A26" s="4" t="s">
        <v>87</v>
      </c>
      <c r="B26" s="4"/>
      <c r="C26" s="4"/>
      <c r="D26" s="19" t="n">
        <f aca="false">'Presupuesto equipo'!G12/B7</f>
        <v>199.690540540541</v>
      </c>
      <c r="E26" s="7" t="n">
        <f aca="false">'Presupuesto equipo'!G12</f>
        <v>7388.55</v>
      </c>
    </row>
    <row r="27" customFormat="false" ht="30" hidden="false" customHeight="true" outlineLevel="0" collapsed="false">
      <c r="A27" s="20" t="s">
        <v>88</v>
      </c>
      <c r="B27" s="20"/>
      <c r="C27" s="20"/>
      <c r="D27" s="20"/>
      <c r="E27" s="20"/>
    </row>
  </sheetData>
  <mergeCells count="6">
    <mergeCell ref="B15:E15"/>
    <mergeCell ref="B16:E16"/>
    <mergeCell ref="B17:E17"/>
    <mergeCell ref="B18:E18"/>
    <mergeCell ref="B19:E19"/>
    <mergeCell ref="A27:E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0"/>
  </cols>
  <sheetData>
    <row r="1" customFormat="false" ht="18.5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23.85" hidden="false" customHeight="false" outlineLevel="0" collapsed="false">
      <c r="A4" s="4" t="n">
        <v>1</v>
      </c>
      <c r="B4" s="4" t="s">
        <v>91</v>
      </c>
    </row>
    <row r="5" customFormat="false" ht="23.85" hidden="false" customHeight="false" outlineLevel="0" collapsed="false">
      <c r="A5" s="4" t="n">
        <v>2</v>
      </c>
      <c r="B5" s="4" t="s">
        <v>92</v>
      </c>
    </row>
    <row r="6" customFormat="false" ht="15" hidden="false" customHeight="false" outlineLevel="0" collapsed="false">
      <c r="A6" s="4" t="n">
        <v>3</v>
      </c>
      <c r="B6" s="4" t="s">
        <v>93</v>
      </c>
    </row>
    <row r="7" customFormat="false" ht="23.85" hidden="false" customHeight="false" outlineLevel="0" collapsed="false">
      <c r="A7" s="4" t="n">
        <v>4</v>
      </c>
      <c r="B7" s="4" t="s">
        <v>94</v>
      </c>
    </row>
    <row r="8" customFormat="false" ht="15" hidden="false" customHeight="false" outlineLevel="0" collapsed="false">
      <c r="A8" s="4" t="n">
        <v>5</v>
      </c>
      <c r="B8" s="4" t="s">
        <v>95</v>
      </c>
    </row>
    <row r="9" customFormat="false" ht="23.85" hidden="false" customHeight="false" outlineLevel="0" collapsed="false">
      <c r="A9" s="4" t="n">
        <v>6</v>
      </c>
      <c r="B9" s="4" t="s">
        <v>96</v>
      </c>
    </row>
    <row r="10" customFormat="false" ht="15" hidden="false" customHeight="false" outlineLevel="0" collapsed="false">
      <c r="A10" s="4" t="n">
        <v>7</v>
      </c>
      <c r="B10" s="4" t="s">
        <v>97</v>
      </c>
    </row>
    <row r="11" customFormat="false" ht="15" hidden="false" customHeight="false" outlineLevel="0" collapsed="false">
      <c r="A11" s="4" t="n">
        <v>8</v>
      </c>
      <c r="B11" s="4" t="s">
        <v>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2026-10-20T13:30:53Z</dcterms:created>
  <dc:creator>RG21 Capital</dc:creator>
  <dc:description/>
  <dc:language>en-US</dc:language>
  <cp:lastModifiedBy>Unknown</cp:lastModifiedBy>
  <dcterms:modified xsi:type="dcterms:W3CDTF">2026-10-20T13:30:53Z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