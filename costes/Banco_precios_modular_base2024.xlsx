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éeme" state="visible" r:id="rId4"/>
    <sheet sheetId="2" name="Banco de precios" state="visible" r:id="rId5"/>
    <sheet sheetId="3" name="Resumen proyectos" state="visible" r:id="rId6"/>
    <sheet sheetId="4" name="Coste real vs venta" state="visible" r:id="rId7"/>
    <sheet sheetId="5" name="Mahón (libro abierto)" state="visible" r:id="rId8"/>
    <sheet sheetId="6" name="Implantación en obra" state="visible" r:id="rId9"/>
    <sheet sheetId="7" name="Fábrica coste mensual" state="visible" r:id="rId10"/>
    <sheet sheetId="8" name="Tiempos por oficio" state="visible" r:id="rId11"/>
    <sheet sheetId="9" name="Incidencias detectadas" state="visible" r:id="rId12"/>
  </sheets>
  <calcPr calcId="171027" fullCalcOnLoad="1"/>
</workbook>
</file>

<file path=xl/sharedStrings.xml><?xml version="1.0" encoding="utf-8"?>
<sst xmlns="http://schemas.openxmlformats.org/spreadsheetml/2006/main" count="2279" uniqueCount="1048">
  <si>
    <t>Banco de precios de vivienda modular: base 2024 (proyectos Tini / DWHAI)</t>
  </si>
  <si>
    <t>Preparado el 28/09/2026 a partir de los presupuestos Presto de 2024 y de la analítica contable de DWHAI a 29/11/2024.</t>
  </si>
  <si>
    <t/>
  </si>
  <si>
    <t>CÓMO SE USA</t>
  </si>
  <si>
    <t>• Hoja «Banco de precios»: una fila por partida. Precio de VENTA de 2024 en cada proyecto donde aparece, con mínimo, máximo y precio de referencia (mediana).</t>
  </si>
  <si>
    <t>• Celdas AMARILLAS = las que rellenas tú: coste 2026 (lo que nos cuesta hoy la partida) y margen objetivo. El precio de venta 2026 se calcula solo.</t>
  </si>
  <si>
    <t>• Texto AZUL = dato introducido a mano (de presupuestos o facturas). Texto negro = fórmula.</t>
  </si>
  <si>
    <t>• Si el coste 2026 está vacío, el precio de venta 2026 toma el precio de referencia de 2024 actualizado con el IPC de obra (celda B3 de «Banco de precios»).</t>
  </si>
  <si>
    <t>FUENTES</t>
  </si>
  <si>
    <t>• Fenwick / Guadalajara (Tini L, 45 m²): 168_TINI L_MEDICIONES Y PRESUPUESTO (Excel del 25/11/2024; transporte corregido según el PDF del 16/04/2024).</t>
  </si>
  <si>
    <t>• Menorca Pino (165 m²), dos versiones: mayo de 2024 (96_TINI XX_MENORCA PINO.xlsx, 280.492 €, que es el importe certificado a Tini) y 30/10/2024 (96_TINI MENORCA PINO__30102024, 272.061 €). También la implantación en obra: 96_TINI_MENORCA PINO_rv02 (29/08/2024).</t>
  </si>
  <si>
    <t>• Sotopinilla / Autopromotor (153 m²): TINI SOTOPINILLA_MEDICIONES (3).pdf.</t>
  </si>
  <si>
    <t>• Burdeos / Francia (Tini M, 34 m²): 171_TINI M_RUBEN GARCIA_BURDEOS_MEDICIONES CON ESTUFA.pdf.</t>
  </si>
  <si>
    <t>• El Boalo / Sonia Arranz (Tini 85 m², contrato 169): 169_TINI 85M EL BOALO_MEDICIONES Y PRESUPUESTO (19/07/2024, 144.795 €).</t>
  </si>
  <si>
    <t>• Mahón / Iván Montero (proyecto 182): resumen de presupuesto del 21/11/2024, a libro abierto (coste de material por separado).</t>
  </si>
  <si>
    <t>• Coste real: 29-11-2024 ANALITICA PROYECTOS DWHAI.xlsx (facturas de proveedor imputadas a cada proyecto).</t>
  </si>
  <si>
    <t>• Superficie de cada proyecto = medición de «limpieza final» (m²). Si hay una superficie oficial, cámbiala en «Resumen proyectos».</t>
  </si>
  <si>
    <t>LO QUE HAY QUE SABER ANTES DE PRESUPUESTAR</t>
  </si>
  <si>
    <t>1. El acero se vendía a 2,80 €/kg, pero la estructura soldada costó entre 2,9 y 5,3 €/kg según el proyecto. Es la partida que más riesgo tiene: en Guadalajara se perdió dinero.</t>
  </si>
  <si>
    <t>2. El panel sándwich se vendía a 54–72 €/m². Con Tabihaus (Menorca, Sotopinilla) el coste imputado salió a 69–83 €/m², por encima de la venta. Con el panel anterior (Tejafer y Geo Pannel: Guadalajara, Burdeos) salió a 26–52 €/m². El precio de lista de Tabihaus en Mahón (42–64 €/m²) no incluye mermas ni portes. En la versión de octubre de Menorca ya se corrigió: panel de fachada de 66 mm a 82,42 €/m², de cubierta de 81 mm a 58,37 €/m² y de suelo de 136 mm a 86,09 €/m². Es la mejor referencia de venta con Tabihaus.</t>
  </si>
  <si>
    <t>3. En Menorca y Sotopinilla, Tini pagó directamente la carpintería, la cocina, los baños, el clima y el transporte. Quitando eso, DWHAI tuvo en Menorca un margen bruto del 36 % sobre lo que ejecutó, antes de gastos generales.</t>
  </si>
  <si>
    <t>4. Con la plantilla completa (9 operarios, septiembre–noviembre de 2024), la nómina costaba unos 28.250 €/mes y la fábrica entera unos 48.700 €/mes. Ver la hoja «Fábrica coste mensual»: falta el dato de m² fabricados al mes para convertirlo en €/m².</t>
  </si>
  <si>
    <t>5. Gastos generales de 2024: 385.104 € (nave, gestión, mano de obra sin imputar). En Mahón se repercutieron como 1/5 de la nave durante 5 meses (24.500 €).</t>
  </si>
  <si>
    <t>6. Los precios de 2024 son de VENTA de DWHAI a Tini. El margen de Tini iba aparte (en Mahón, 37.831 € sobre 109.111 €, un 34,7 %).</t>
  </si>
  <si>
    <t>BANCO DE PRECIOS: VIVIENDA MODULAR (base 2024)</t>
  </si>
  <si>
    <t>Actualización 2024→2026 (IPC de obra)</t>
  </si>
  <si>
    <t>Supuesto: +8 % acumulado. Sustitúyelo por el índice real o por precios de proveedor.</t>
  </si>
  <si>
    <t>Margen objetivo por defecto</t>
  </si>
  <si>
    <t>Capítulo</t>
  </si>
  <si>
    <t>Código</t>
  </si>
  <si>
    <t>Descripción</t>
  </si>
  <si>
    <t>Ud</t>
  </si>
  <si>
    <t xml:space="preserve">Venta 2024
Fenwick (Guadalajara)</t>
  </si>
  <si>
    <t xml:space="preserve">Venta 2024
Menorca Pino (may-24)</t>
  </si>
  <si>
    <t xml:space="preserve">Venta 2024
Menorca Pino (oct-24)</t>
  </si>
  <si>
    <t xml:space="preserve">Venta 2024
Sotopinilla</t>
  </si>
  <si>
    <t xml:space="preserve">Venta 2024
Burdeos (Francia)</t>
  </si>
  <si>
    <t xml:space="preserve">Venta 2024
El Boalo (Tini 85)</t>
  </si>
  <si>
    <t>Mín.</t>
  </si>
  <si>
    <t>Máx.</t>
  </si>
  <si>
    <t>Nº proy.</t>
  </si>
  <si>
    <t xml:space="preserve">Precio ref. 2024
(mediana)</t>
  </si>
  <si>
    <t xml:space="preserve">Coste real 2024
(conocido)</t>
  </si>
  <si>
    <t xml:space="preserve">Margen 2024
sobre venta</t>
  </si>
  <si>
    <t>Fuente del coste</t>
  </si>
  <si>
    <t xml:space="preserve">COSTE 2026
(rellenar)</t>
  </si>
  <si>
    <t xml:space="preserve">Margen objetivo
(opcional)</t>
  </si>
  <si>
    <t>PRECIO VENTA 2026</t>
  </si>
  <si>
    <t>01 Estructura</t>
  </si>
  <si>
    <t>01.01.03.02</t>
  </si>
  <si>
    <t>CORREA SHS60.4</t>
  </si>
  <si>
    <t>01.01.06.02</t>
  </si>
  <si>
    <t>PLETINA TRANSPORTE 170.10</t>
  </si>
  <si>
    <t>kg</t>
  </si>
  <si>
    <t>01.01.07.01</t>
  </si>
  <si>
    <t>PINTURA ESTRUCTURA VISTA</t>
  </si>
  <si>
    <t>EAS005</t>
  </si>
  <si>
    <t>PLACA DE ANCLAJE DE ACERO, CON PERNOS SOLDADOS.</t>
  </si>
  <si>
    <t>EST_CO_HEA100</t>
  </si>
  <si>
    <t>HEA100</t>
  </si>
  <si>
    <t>Solo material. Mahón 21/11/2024: acero 0,80 €/kg. La estructura soldada completa costó 2,9–5,3 €/kg (ver hoja Coste real)</t>
  </si>
  <si>
    <t>EST_CO_RHS80.60.4</t>
  </si>
  <si>
    <t>CORREA RHS80.60.4</t>
  </si>
  <si>
    <t>CORREA RHS 80.60.4</t>
  </si>
  <si>
    <t>EST_CO_SHS60.4</t>
  </si>
  <si>
    <t>HEA 100</t>
  </si>
  <si>
    <t>CORREA SHS 60.60.4</t>
  </si>
  <si>
    <t>EST_CO_SHS60.6</t>
  </si>
  <si>
    <t>CORREA SHS60.6</t>
  </si>
  <si>
    <t>EST_PI_HEA100</t>
  </si>
  <si>
    <t>EST_PI_IPE140</t>
  </si>
  <si>
    <t>PILAR IPE140</t>
  </si>
  <si>
    <t>EST_PI_IPE160</t>
  </si>
  <si>
    <t>PILAR IPE160</t>
  </si>
  <si>
    <t>EST_PI_IPE180</t>
  </si>
  <si>
    <t>PILAR IPE180</t>
  </si>
  <si>
    <t>EST_PL_10.120</t>
  </si>
  <si>
    <t>PLETINA TRANSPORTE 120.10</t>
  </si>
  <si>
    <t>EST_PL_120.10</t>
  </si>
  <si>
    <t>EST_PL_40.5</t>
  </si>
  <si>
    <t>PLETINA ARRIOSTRAMIENTO 40.5</t>
  </si>
  <si>
    <t>EST_PL_80.10</t>
  </si>
  <si>
    <t>PLETINA TRANSPORTE 80.10</t>
  </si>
  <si>
    <t>EST_PL_AG</t>
  </si>
  <si>
    <t>AGARRADERA TRIANGULAR</t>
  </si>
  <si>
    <t>u</t>
  </si>
  <si>
    <t>EST_PL_CRZ</t>
  </si>
  <si>
    <t>PLETINA ARRIOSTRAMIENTO 100.10</t>
  </si>
  <si>
    <t>EST_PL_PI</t>
  </si>
  <si>
    <t>PLETINA APOYO PILAR</t>
  </si>
  <si>
    <t>EST_PL_RC</t>
  </si>
  <si>
    <t>PLETINA REFUERZO COR-VISION</t>
  </si>
  <si>
    <t>EST_PL_RC150.10</t>
  </si>
  <si>
    <t>PLETINA REFUERZO COR-VISION 150.10</t>
  </si>
  <si>
    <t>EST_PN_BIM</t>
  </si>
  <si>
    <t>BASE IMPRIMACIÓN DOBLE</t>
  </si>
  <si>
    <t>EST_PN_BL</t>
  </si>
  <si>
    <t>PINTURA BLANCA ESTRUTURA VISTA</t>
  </si>
  <si>
    <t>EST_PN_GAL</t>
  </si>
  <si>
    <t>GALVANIZADO PARA ESTRUCTURA DE ACERO (&gt;1000KG)</t>
  </si>
  <si>
    <t>Mahón 21/11/2024: galvanizado 0,45 €/kg</t>
  </si>
  <si>
    <t>GALVANIZADO PARA ESTRUCTURA DE ACERO</t>
  </si>
  <si>
    <t>EST_PN_GIM</t>
  </si>
  <si>
    <t>GRANALLADO E IMPRIMACIÓN</t>
  </si>
  <si>
    <t>EST_PN_PPV</t>
  </si>
  <si>
    <t>PINTURA POLIURETANO VISTO</t>
  </si>
  <si>
    <t>Mahón 21/11/2024: poliuretano 0,12 €/kg</t>
  </si>
  <si>
    <t>EST_PN_PPV_NM</t>
  </si>
  <si>
    <t>PINTURA POLIURETANO VISTO NEGRO MATE</t>
  </si>
  <si>
    <t>EST_PN_TC2C3M</t>
  </si>
  <si>
    <t>TRATAMIENTO C2-C3 TINI M</t>
  </si>
  <si>
    <t>EST_PN_TC2C3S</t>
  </si>
  <si>
    <t>TRATAMIENTO C2-C3 TINI S</t>
  </si>
  <si>
    <t>EST_PN_TC2C3XS</t>
  </si>
  <si>
    <t>TRATAMIENTO C2-C3 TINI XS</t>
  </si>
  <si>
    <t>EST_PN_TC4C5M</t>
  </si>
  <si>
    <t>TRATAMIENTO C4-C5 TINI M</t>
  </si>
  <si>
    <t>EST_PN_TC4C5S</t>
  </si>
  <si>
    <t>TRATAMIENTO C4-C5 TINI S</t>
  </si>
  <si>
    <t>EST_PN_TC4C5XS</t>
  </si>
  <si>
    <t>TRATAMIENTO C4-C5 TINI XS</t>
  </si>
  <si>
    <t>EST_RE_100.6</t>
  </si>
  <si>
    <t>REFUERZO RHS 100.60.4</t>
  </si>
  <si>
    <t>EST_RE_L40.4</t>
  </si>
  <si>
    <t>SOPORTE SANDWICH L40.4</t>
  </si>
  <si>
    <t>EST_RE_RHS100.50.3</t>
  </si>
  <si>
    <t>REFUERZO RHS100.60.4</t>
  </si>
  <si>
    <t>EST_RE_RHS120.60.4</t>
  </si>
  <si>
    <t>REFUERZO RHS120.60.4</t>
  </si>
  <si>
    <t>EST_RE_RHS25.50.1.5</t>
  </si>
  <si>
    <t>REFUERZO RHS25.50.1,5</t>
  </si>
  <si>
    <t>EST_RE_RHS50.25.1.5</t>
  </si>
  <si>
    <t>REFUERZO RHS50.25.1,5</t>
  </si>
  <si>
    <t>EST_RE_RHS50.50.4</t>
  </si>
  <si>
    <t>REFUERZO RHS 50.50.4</t>
  </si>
  <si>
    <t>EST_RE_RHS60.30.3</t>
  </si>
  <si>
    <t>REFUERZO RHS60.30.3</t>
  </si>
  <si>
    <t>REFUERZO RHS 60.30.3</t>
  </si>
  <si>
    <t>EST_RM_L45.5</t>
  </si>
  <si>
    <t>ANGULO L45.5</t>
  </si>
  <si>
    <t>EST_RM_L65.5</t>
  </si>
  <si>
    <t>ANGULO L65.5</t>
  </si>
  <si>
    <t>EST_VI_HEB220</t>
  </si>
  <si>
    <t>VIGA HEB220</t>
  </si>
  <si>
    <t>EST_VI_IPE160</t>
  </si>
  <si>
    <t>VIGA IPE160</t>
  </si>
  <si>
    <t>EST_VI_IPE180</t>
  </si>
  <si>
    <t>VIGA IPE180</t>
  </si>
  <si>
    <t>EST_VI_IPE200</t>
  </si>
  <si>
    <t>VIGA IPE200</t>
  </si>
  <si>
    <t>EST_VI_IPE220</t>
  </si>
  <si>
    <t>VIGA IPE220</t>
  </si>
  <si>
    <t>02 Fachada y tabiques (panel)</t>
  </si>
  <si>
    <t>FAC_ATR</t>
  </si>
  <si>
    <t>AISLAMIENTO TÉRMICO REFLEXIVO</t>
  </si>
  <si>
    <t>m²</t>
  </si>
  <si>
    <t>FAC_DU46</t>
  </si>
  <si>
    <t>DOBLE PERFILERIA U 46MM CADA 60CM</t>
  </si>
  <si>
    <t>FAC_O15</t>
  </si>
  <si>
    <t>PERFIL OMEGA 15MM</t>
  </si>
  <si>
    <t>FAC_PET40</t>
  </si>
  <si>
    <t>AISLAMIENTO DE PET RECICLADO DE 40MM</t>
  </si>
  <si>
    <t>FAC_PET80</t>
  </si>
  <si>
    <t>AISLAMIENTO DE PET RECICLADO DE 80MM</t>
  </si>
  <si>
    <t>FAC_SAN_TAH</t>
  </si>
  <si>
    <t>PANEL SANDWICH (8+50+8) TABIHAUS</t>
  </si>
  <si>
    <t>Tabihaus 8+50+8 (66 mm): 42 €/m² (Mahón). Supuesto: «50 mm» = 8+50+8</t>
  </si>
  <si>
    <t>FAC_SAN50</t>
  </si>
  <si>
    <t>PANEL SANDWICH 50MM</t>
  </si>
  <si>
    <t>PANEL SANDWICH 66MM (TABIHAUS)</t>
  </si>
  <si>
    <t>FAC_SAN66</t>
  </si>
  <si>
    <t>FAC_U46</t>
  </si>
  <si>
    <t>PERFIL U 46MM CADA 60CM</t>
  </si>
  <si>
    <t>FAC_U70</t>
  </si>
  <si>
    <t>PERFIL U 70MM CADA 60CM</t>
  </si>
  <si>
    <t>03 Cubierta</t>
  </si>
  <si>
    <t>CUB_ALB</t>
  </si>
  <si>
    <t>ALBARDILLA DE CHAPA PLEGADA GALVANIZADA DE 2MM</t>
  </si>
  <si>
    <t>m</t>
  </si>
  <si>
    <t>ALBARDILLA DE CHAPA PLEGADA GALVANIZADA DE</t>
  </si>
  <si>
    <t>CUB_ATR</t>
  </si>
  <si>
    <t>CUB_CAN</t>
  </si>
  <si>
    <t>CANALÓN DE CHAPA PLEGADA DE 2MM</t>
  </si>
  <si>
    <t>CUB_GAR</t>
  </si>
  <si>
    <t>GÁRGOLA METÁLICA INCLUSO PIEZA DE EPDM</t>
  </si>
  <si>
    <t>CUB_O15</t>
  </si>
  <si>
    <t>CUB_PET40</t>
  </si>
  <si>
    <t>AISLAMIENTO PET RECICLADO 40MM</t>
  </si>
  <si>
    <t>CUB_SAN_TAH</t>
  </si>
  <si>
    <t>PANEL SANDWICH (8+65+8) TABIHAUS</t>
  </si>
  <si>
    <t>Tabihaus 8+65+8 (≈81 mm): 52 €/m² (Mahón). Supuesto: «80 mm» = 8+65+8</t>
  </si>
  <si>
    <t>CUB_SAN80</t>
  </si>
  <si>
    <t>PANEL SANDWICH 80MM</t>
  </si>
  <si>
    <t>PANEL SANDWICH 81MM TABIHAUS</t>
  </si>
  <si>
    <t>CUB_SAN81</t>
  </si>
  <si>
    <t>PANEL SANDWICH 81MM (TABIHAUS)</t>
  </si>
  <si>
    <t>CUB_TAB</t>
  </si>
  <si>
    <t>TELA ASFÁLTICA BICAPA CON ACABADO DE PIZARRILLA</t>
  </si>
  <si>
    <t>CUB_XPS60</t>
  </si>
  <si>
    <t>AISLAMIENTO XPS 60MM</t>
  </si>
  <si>
    <t>04 Suelo</t>
  </si>
  <si>
    <t>EAN010_propuesta 2</t>
  </si>
  <si>
    <t>PANEL SÁNDWICH PARA FORJADO O CUBIERTA, SOBRE</t>
  </si>
  <si>
    <t>EAN020_propuesta</t>
  </si>
  <si>
    <t>PANEL SÁNDWICH PARA FORJADO O CUBIERTA PROPUESTA</t>
  </si>
  <si>
    <t>SUE_ATR</t>
  </si>
  <si>
    <t>LÁMINA DE PVC</t>
  </si>
  <si>
    <t>SUE_DAN_136</t>
  </si>
  <si>
    <t>PANEL SANDWICH 136 MM (TABIHAUS)</t>
  </si>
  <si>
    <t>Tabihaus 8+120+8: 64 €/m² (Mahón)</t>
  </si>
  <si>
    <t>SUE_SAN_TAH136</t>
  </si>
  <si>
    <t>PANEL SANDWICH (8+120+8) TABIHAUS</t>
  </si>
  <si>
    <t>SUE_SAN_TAH81</t>
  </si>
  <si>
    <t>SUE_SAN50</t>
  </si>
  <si>
    <t>SUE_SAN80</t>
  </si>
  <si>
    <t>PANEL SANDWICH 136MM (TABIHAUS)</t>
  </si>
  <si>
    <t>SUE_TRA</t>
  </si>
  <si>
    <t>SUELO DE TRAMEX REGISTRABLE</t>
  </si>
  <si>
    <t>05 Electricidad</t>
  </si>
  <si>
    <t>01.05.02.02</t>
  </si>
  <si>
    <t>PAREJA HORIZONTAL CONMUTADOR 10A SIMON 270</t>
  </si>
  <si>
    <t>01.05.02.07</t>
  </si>
  <si>
    <t>PAREJA VERTICAL INTERRUPTOR 10A SIMON 270</t>
  </si>
  <si>
    <t>01.05.02.22</t>
  </si>
  <si>
    <t>PAREJA HORIZONTAL INTERRUPTORES 10A SIMON 270</t>
  </si>
  <si>
    <t>01.05.03.25</t>
  </si>
  <si>
    <t>FOCO DE EXTERIOR TONI FARO BARCELONA 3000K</t>
  </si>
  <si>
    <t>084IE</t>
  </si>
  <si>
    <t>CIRCUITO DE ALUMBRADO</t>
  </si>
  <si>
    <t>ml</t>
  </si>
  <si>
    <t>085IE</t>
  </si>
  <si>
    <t>CIRCUITOS USOS VARIOS</t>
  </si>
  <si>
    <t>E01</t>
  </si>
  <si>
    <t>PAREJA VERTICAL CONMUTADOR 10A SIMON 270</t>
  </si>
  <si>
    <t>ELE_ILU_FB_CROC19</t>
  </si>
  <si>
    <t>FOCO CROC 19 FARO BARCELONA</t>
  </si>
  <si>
    <t>ELE_ILU_FB_GEISER130</t>
  </si>
  <si>
    <t>FOCO EMPOTRABLE DE EXTERIOR GEISER 130 FARO</t>
  </si>
  <si>
    <t>ELE_ILU_FB_HYDE</t>
  </si>
  <si>
    <t>FOCO HYDE FARO BARCELONA</t>
  </si>
  <si>
    <t>FOCO HYDE FARO BARCELONA Y BOMBILLA 2700K</t>
  </si>
  <si>
    <t>FOCO HYDE FARO BARCELONA Y BOMBILLA 2700K (TODOS LOS COLORES)</t>
  </si>
  <si>
    <t>ELE_ILU_FB_NORAY</t>
  </si>
  <si>
    <t>APLIQUE DE EXTERIOR NORAY FARO BARCELONA Y</t>
  </si>
  <si>
    <t>ELE_ILU_FB_STANEMP_N</t>
  </si>
  <si>
    <t>FOCO EMPOTRABLE STAN FARO BARCELONA Y BOMBILLA 2700K (NEGRO O</t>
  </si>
  <si>
    <t>ELE_ILU_FB_STANPRY_N</t>
  </si>
  <si>
    <t>PROYECTOR ORIENTABLE STAN FARO BARCELONA Y BOMBILLA 2700K(NEGRO O</t>
  </si>
  <si>
    <t>ELE_ILU_FINS</t>
  </si>
  <si>
    <t>FOCO CUARTO INSTALACIONES</t>
  </si>
  <si>
    <t>ELE_ILU_LED</t>
  </si>
  <si>
    <t>TIRA LED 14,4 W/ML 2700K</t>
  </si>
  <si>
    <t>ELE_ILU_LIN</t>
  </si>
  <si>
    <t>LINESTRA DE 32W 2500K</t>
  </si>
  <si>
    <t>ELE_ILU_PYC</t>
  </si>
  <si>
    <t>PREINSTALACIÓN Y CABLEADO PARA PUNTO DE LUZ</t>
  </si>
  <si>
    <t>ELE_ILU_TLED</t>
  </si>
  <si>
    <t>TIRA LED 14,4W/ML 2700K CON PERFIL Y DIFUSOR 10X5MM</t>
  </si>
  <si>
    <t>ELE_INS_CAA</t>
  </si>
  <si>
    <t>CIRCUITO DE AIRE ACONDICIONADO</t>
  </si>
  <si>
    <t>ELE_INS_CGP</t>
  </si>
  <si>
    <t>CUADRO GENERAL DE MANDO Y PROTECCIÓN</t>
  </si>
  <si>
    <t>ELE_INS_IEI010</t>
  </si>
  <si>
    <t>RED DE DISTRIBUCIÓN INTERIOR EN TINI: A DESARROLLAR TI</t>
  </si>
  <si>
    <t>RED DE DISTRIBUCIÓN INTERIOR EN TINI: A DESARROLLAR TIPOS</t>
  </si>
  <si>
    <t>ELE_INS_LVV</t>
  </si>
  <si>
    <t>CIRCUITO LAVAVAJILLAS</t>
  </si>
  <si>
    <t>ELE_INS_TGT</t>
  </si>
  <si>
    <t>TOMA GENERAL DE TIERRAS</t>
  </si>
  <si>
    <t>ELE_MEC_EN</t>
  </si>
  <si>
    <t>ENCHUFE</t>
  </si>
  <si>
    <t>ELE_MEC_INT</t>
  </si>
  <si>
    <t>INTERRUPTORES</t>
  </si>
  <si>
    <t>ELE_MEC_S270_V2E</t>
  </si>
  <si>
    <t>PAREJA VERTICAL 2 ENCHUFES 16A SIMON 270 BLANCO</t>
  </si>
  <si>
    <t>ELE_MEC_S270B_C10</t>
  </si>
  <si>
    <t>CONMUTADOR 10A SIMON 270 BLANCO</t>
  </si>
  <si>
    <t>ELE_MEC_S270B_E16</t>
  </si>
  <si>
    <t>ENCHUFE 16A SIMON 270 BLANCO</t>
  </si>
  <si>
    <t>ELE_MEC_S270B_E25</t>
  </si>
  <si>
    <t>ENCHUFE 25A SIMON 270 BLANCO</t>
  </si>
  <si>
    <t>ELE_MEC_S270B_H2C10</t>
  </si>
  <si>
    <t>PAREJA HORIZONTAL CONMUTADORES 10A SIMON 270 BLANCO</t>
  </si>
  <si>
    <t>PAREJA HORIZONTAL CONMUTADORES 10A</t>
  </si>
  <si>
    <t>ELE_MEC_S270B_H2E16</t>
  </si>
  <si>
    <t>PAREJA HORIZONTAL ENCHUFES 16A SIMON 270 BLANCO</t>
  </si>
  <si>
    <t>PAREJA HORIZONTAL ENCHUFES 16A SIMON</t>
  </si>
  <si>
    <t>PAREJA HORIZONTAL ENCHUFES 16A SIMON 270</t>
  </si>
  <si>
    <t>ELE_MEC_S270B_H2I10</t>
  </si>
  <si>
    <t>ELE_MEC_S270B_H3C10</t>
  </si>
  <si>
    <t>TRÍO HORIZONTAL CONMUTADORES 10A SIMON 270 BLANCO</t>
  </si>
  <si>
    <t>TRÍO HORIZONTAL CONMUTADORES 10A</t>
  </si>
  <si>
    <t>ELE_MEC_S270B_H3E16</t>
  </si>
  <si>
    <t>TRÍO HORIZONTAL ENCHUFES 16A SIMON 270 BLANCO</t>
  </si>
  <si>
    <t>TRÍO HORIZONTAL ENCHUFES 16A SIMON 270</t>
  </si>
  <si>
    <t>ELE_MEC_S270B_H3I10</t>
  </si>
  <si>
    <t>TRÍO HORIZONTAL INTERRUPTORES 10A SIMON 270</t>
  </si>
  <si>
    <t>ELE_MEC_S270B_HI10E16</t>
  </si>
  <si>
    <t>PAREJA HORIZONTAL INTERRUPTOR 10A Y ENCHUFE</t>
  </si>
  <si>
    <t>ELE_MEC_S270B_HIC10</t>
  </si>
  <si>
    <t>PAREJA HORIZONTAL INTERRUPTOR Y CONMUTADOR 10A SIMON 27</t>
  </si>
  <si>
    <t>PAREJA HORIZONTAL INTERRUPTOR Y</t>
  </si>
  <si>
    <t>ELE_MEC_S270B_I10</t>
  </si>
  <si>
    <t>INTERRUPTOR 10A SIMON 270 BLANCO</t>
  </si>
  <si>
    <t>ELE_MEC_S270B_RJ45</t>
  </si>
  <si>
    <t>TOMA RJ45 SIMON 270 BLANCO</t>
  </si>
  <si>
    <t>ELE_MEC_S270B_TTV</t>
  </si>
  <si>
    <t>TOMA DE TV SIMON 270 BLANCO</t>
  </si>
  <si>
    <t>ELE_MEC_S270B_V2E16</t>
  </si>
  <si>
    <t>PAREJA VERTICAL ENCHUFES 16A SIMON 270 BLANCO</t>
  </si>
  <si>
    <t>ELE_MEC_S270B_V2I10</t>
  </si>
  <si>
    <t>PAREJA VERTICAL INTERRUPTORES 10A SIMON 270</t>
  </si>
  <si>
    <t>ELE_MEC_S270B_V3E16</t>
  </si>
  <si>
    <t>TRÍO VERTICAL ENCHUFES 16A SIMON 270 BLANCO</t>
  </si>
  <si>
    <t>ELE_TEL_ANT</t>
  </si>
  <si>
    <t>ANTENA TV</t>
  </si>
  <si>
    <t>ELE_TEL_CTC</t>
  </si>
  <si>
    <t>CAJA DE TELECOMUNICACIONES</t>
  </si>
  <si>
    <t>ELE_TEL_S270B_RJ45</t>
  </si>
  <si>
    <t>ELE_TEL_S270B_TTV</t>
  </si>
  <si>
    <t>06 Cerrajería</t>
  </si>
  <si>
    <t>CER_BAR</t>
  </si>
  <si>
    <t>BARANDILLA BASTIDOR DE ACERO Y MALLA SIMPLE TORSIÓN</t>
  </si>
  <si>
    <t>BARANDILLA BASTIDOR DE ACERO Y MALLA SIMPLE</t>
  </si>
  <si>
    <t>CER_PEN_1HA_MDT</t>
  </si>
  <si>
    <t>PUERTA DE ENTRADA DE 1H ABATIBLE DE MADERA TERMOTRATADA</t>
  </si>
  <si>
    <t>PUERTA DE ENTRADA DE 1H ABATIBLE DE VIROC</t>
  </si>
  <si>
    <t>CER_PI_AIS</t>
  </si>
  <si>
    <t>XPS PUERTA DE INSTALACIONES</t>
  </si>
  <si>
    <t>m2</t>
  </si>
  <si>
    <t>CER_PIN_1H_MP</t>
  </si>
  <si>
    <t>PUERTA DE INSTALACIONES 1H ABATIBLE MADERA DE PNO</t>
  </si>
  <si>
    <t>CER_PIN_1HA_MIG</t>
  </si>
  <si>
    <t>PUERTA DE INSTALACIONES 1H ABATIBLE MINIONDA</t>
  </si>
  <si>
    <t>CER_PIN_1HA_MIL</t>
  </si>
  <si>
    <t>XPS PUERTA INSTALACIONES</t>
  </si>
  <si>
    <t>CER_PIN_2HA_MP</t>
  </si>
  <si>
    <t>PUERTA DE INSTALACIONES 2H ABATIBLES MADERA DE PINO</t>
  </si>
  <si>
    <t>LEA010</t>
  </si>
  <si>
    <t>PUERTA METÁLICA DE ENTRADA A VIVIENDA.</t>
  </si>
  <si>
    <t>07 Fontanería</t>
  </si>
  <si>
    <t>FON_TER_50</t>
  </si>
  <si>
    <t>TERMO ELÉCTRICO DE 50L</t>
  </si>
  <si>
    <t>FON_TER_80</t>
  </si>
  <si>
    <t>TERMO ELÉCTRICO DE 80L</t>
  </si>
  <si>
    <t>08 Acabado de fachada</t>
  </si>
  <si>
    <t>ACF_CAR</t>
  </si>
  <si>
    <t>REVESTIMIENTO DE MADERA CARBONIZADA</t>
  </si>
  <si>
    <t>ACF_COR</t>
  </si>
  <si>
    <t>REVESTIMIENTO DE CHAPA DE ACERO CORTÉN DE 2MM</t>
  </si>
  <si>
    <t>REVESTIMIENTO DE CHAPA DE ACERO CORTÉN DE</t>
  </si>
  <si>
    <t>ACF_ENF</t>
  </si>
  <si>
    <t>REVESTIMIENTO DE AQUAPANEL CON ENFOSCADO DE CEMENTO</t>
  </si>
  <si>
    <t>REVESTIMIENTO DE AQUAPANEL CON ENFOSCADO DE</t>
  </si>
  <si>
    <t>ACF_MC</t>
  </si>
  <si>
    <t>REVESTIMIENTO DE PANELES DE CASTAÑO</t>
  </si>
  <si>
    <t>ACF_MIN</t>
  </si>
  <si>
    <t>REVESTIMIENTO CHAPA DE ACERO MINIONDA GALVANIZADO</t>
  </si>
  <si>
    <t>REVESTIMIENTO CHAPA DE ACERO MINIONDA</t>
  </si>
  <si>
    <t>ACF_MIN_LNM</t>
  </si>
  <si>
    <t>REVESTIMIENTO CHAPA DE ACERO MINIONDA GALVANIZADO LACAD</t>
  </si>
  <si>
    <t>REVESTIMIENTO CHAPA DE ACERO MINIONDA GALVANIZADO LACADO EN NEGRO</t>
  </si>
  <si>
    <t>ACF_MPB</t>
  </si>
  <si>
    <t>REVESTIMIENTO DE PANELES DE PINO CUPERIZADO PINTADO DE</t>
  </si>
  <si>
    <t>ACF_PB</t>
  </si>
  <si>
    <t>PINTURA ESMALTE BLANCO</t>
  </si>
  <si>
    <t>ACF_PLA</t>
  </si>
  <si>
    <t>PLIEGES EN VENTANAS DE CHAPA DE ACERO</t>
  </si>
  <si>
    <t>ACF_PLC</t>
  </si>
  <si>
    <t>PLIEGES EN VENTANAS DE CHAPA DE ACERO CORTÉN DE 2MM</t>
  </si>
  <si>
    <t>PLIEGES EN VENTANAS DE CHAPA DE ACERO CORTÉN</t>
  </si>
  <si>
    <t>ACF_PLG</t>
  </si>
  <si>
    <t>PLIEGES EN VENTANAS DE CHAPA DE ACERO GALVANIZADO</t>
  </si>
  <si>
    <t>ACF_PLG_LNM</t>
  </si>
  <si>
    <t>PLIEGES EN VENTANAS DE CHAPA DE ACERO GALVANIZADO LACAD</t>
  </si>
  <si>
    <t>ACF_TER</t>
  </si>
  <si>
    <t>REVESTIMIENTO DE PANELES DE PINO TERMOTRATADO</t>
  </si>
  <si>
    <t>ACF_VIR</t>
  </si>
  <si>
    <t>REVESTIMIENTO DE VIROC</t>
  </si>
  <si>
    <t>REVESTIMIENTO DE VIROC ROJO</t>
  </si>
  <si>
    <t>FAZ050</t>
  </si>
  <si>
    <t>REVESTIMIENTO EXTERIOR DE FACHADA VENTILADA, DE LAMAS</t>
  </si>
  <si>
    <t>09 Carpintería exterior</t>
  </si>
  <si>
    <t>CAE_COR60_1B_90</t>
  </si>
  <si>
    <t>COR-60 1H BATIENTE 900X2550</t>
  </si>
  <si>
    <t>CAE_COR60_1F_120</t>
  </si>
  <si>
    <t>COR-60 1H FIJA 1200X2550</t>
  </si>
  <si>
    <t>CAE_COR60_1F_2240</t>
  </si>
  <si>
    <t>COR-60 1H FIJA 2240X2550</t>
  </si>
  <si>
    <t>CAE_COR60_1F_45</t>
  </si>
  <si>
    <t>COR-60 1H FIJA 450X2550</t>
  </si>
  <si>
    <t>CAE_COR60_1F_90</t>
  </si>
  <si>
    <t>COR-60 1H FIJA 900X2550</t>
  </si>
  <si>
    <t>CAE_COR60_1F_90_NL</t>
  </si>
  <si>
    <t>COR-60 1H FIJA 900X2550 (NEGRO LIJA)</t>
  </si>
  <si>
    <t>CAE_COR60_1OB_45</t>
  </si>
  <si>
    <t>COR-60 1H OSCILOBATIENTE 450X2550</t>
  </si>
  <si>
    <t>CAE_COR60_1OB_45_NL</t>
  </si>
  <si>
    <t>COR-60 1H OSCILOBATIENTE 450X2550 (NEGRO LIJA)</t>
  </si>
  <si>
    <t>CAE_COR60_1OB_90</t>
  </si>
  <si>
    <t>COR-60 1H OSCILOBATIENTE 900X2550</t>
  </si>
  <si>
    <t>CAE_COR60_1OBF_45</t>
  </si>
  <si>
    <t>COR-60 1H OSCILOBATIENTE Y FIJO INFERIOR 450X2550</t>
  </si>
  <si>
    <t>CAE_CORV_1F_265</t>
  </si>
  <si>
    <t>COR-VISION 1H FIJO 2650X2550</t>
  </si>
  <si>
    <t>CAE_CORV_1F1C_180_NL</t>
  </si>
  <si>
    <t>COR-VISION 1H FIJA Y 1H CORREDERA 1800X2550 (NEGRO LIJA)</t>
  </si>
  <si>
    <t>CAE_CORV_1F1C_240</t>
  </si>
  <si>
    <t>COR-VISION 1H FIJA Y 1H CORREDERA 2400X2550</t>
  </si>
  <si>
    <t>CAE_CORV_1F1C_268</t>
  </si>
  <si>
    <t>COR-VISION 1H FIJA Y 1H CORREDERA 2680X2550</t>
  </si>
  <si>
    <t>CAE_CORV_1F1C_268S</t>
  </si>
  <si>
    <t>COR-VISION 1H FIJA Y 1H CORREDERA SIMÉTRICA 2680X2550</t>
  </si>
  <si>
    <t>CAE_CORV_1F1C_268S_NL</t>
  </si>
  <si>
    <t>COR-VISION 1H FIJA Y 1H CORREDERA SIMÉTRICA 2680X2550 (NEGRO LIJA)</t>
  </si>
  <si>
    <t>CAE_CORV_1F1C_272</t>
  </si>
  <si>
    <t>COR-VISION 1H FIJA Y 1H CORREDERA SIMÉTRICA</t>
  </si>
  <si>
    <t>CAE_CORV_1F1C_275S</t>
  </si>
  <si>
    <t>COR-VISION 1H FIJA Y 1H CORREDERA SIMÉTRICA 2750X2550</t>
  </si>
  <si>
    <t>CAE_CORV_1F1C_276</t>
  </si>
  <si>
    <t>COR-VISION 1H FIJA Y 1H CORREDERA 2760X2550</t>
  </si>
  <si>
    <t>CAE_CORV_1F1C_277</t>
  </si>
  <si>
    <t>CAE_CORV_1F1C_280S</t>
  </si>
  <si>
    <t>COR-VISION 1H FIJA Y 1H CORREDERA SIMÉTRICA 2800C2550</t>
  </si>
  <si>
    <t>CAE_CORV_1F1C_292S</t>
  </si>
  <si>
    <t>COR-VISION 1H FIJA Y 1H CORREDERA SIMÉTRICA 2920X2550</t>
  </si>
  <si>
    <t>CAE_CORV_1F1C_375</t>
  </si>
  <si>
    <t>CAE_CORV_1F1C_375S</t>
  </si>
  <si>
    <t>CAE_CORV_2C_375</t>
  </si>
  <si>
    <t>COR-VISION 2H CORREDERAS 3750X2550</t>
  </si>
  <si>
    <t>10 Carpintería interior</t>
  </si>
  <si>
    <t>05AUNCO</t>
  </si>
  <si>
    <t>AUMENTO POR PUERTA CORREDERA EN LOS TRES CASOS</t>
  </si>
  <si>
    <t>ud</t>
  </si>
  <si>
    <t>CAI_ARM_ABD_1P</t>
  </si>
  <si>
    <t>ARMARIO ABEDUL DE 1 PUERTA (ANCHO 400-700MM)</t>
  </si>
  <si>
    <t>CAI_ARM_DML_4P</t>
  </si>
  <si>
    <t>ARMARIO DM LACADO DE 4 PUERTAS (ANCHO 1600-2400MM)</t>
  </si>
  <si>
    <t>CAI_PUE_ABD_1C</t>
  </si>
  <si>
    <t>PUERTA ABEDUL CORREDERA (ANCHO 1000MM)</t>
  </si>
  <si>
    <t>CAI_PUE_ABD_1HA62</t>
  </si>
  <si>
    <t>PUERTA ABEDUL 1H ABATIBLE (ANCHO 625MM)</t>
  </si>
  <si>
    <t>PUERTA CONTRACHAPADO DE PINO 1H ABATIBLE</t>
  </si>
  <si>
    <t>CAI_PUE_ABD_1HA72</t>
  </si>
  <si>
    <t>PUERTA ABEDUL 1H ABATIBLE (ANCHO 725MM)</t>
  </si>
  <si>
    <t>CAI_PUE_DML_1HA62</t>
  </si>
  <si>
    <t>PUERTA DM LACADO 1H ABATIBLE (ANCHO 625MM)</t>
  </si>
  <si>
    <t>CAI_PUE_DML_1HA72</t>
  </si>
  <si>
    <t>PUERTA DM LACADO 1H ABATIBLE (ANCHO 725MM)</t>
  </si>
  <si>
    <t>CAI_PUE_OSB_1HA62</t>
  </si>
  <si>
    <t>PUERTA OSB 1H ABATIBLE (ANCHO 625MM)</t>
  </si>
  <si>
    <t>CAI_TABMOV</t>
  </si>
  <si>
    <t>TABIQUE MÓVIL</t>
  </si>
  <si>
    <t>11 Tabiquería y trasdosados</t>
  </si>
  <si>
    <t>113PMOHO</t>
  </si>
  <si>
    <t>PINTURA PLASTICA ANTIMOHO</t>
  </si>
  <si>
    <t>114PPLAS</t>
  </si>
  <si>
    <t>PINTURA PLASTICA</t>
  </si>
  <si>
    <t>TAB_2PLA</t>
  </si>
  <si>
    <t>DOBLE PLACA DE YESO LAMINADO</t>
  </si>
  <si>
    <t>TAB_ABE</t>
  </si>
  <si>
    <t>CONTRACHAPADO DE ABEDUL</t>
  </si>
  <si>
    <t>CONTRACHAPADO DE PINO</t>
  </si>
  <si>
    <t>TAB_AQU</t>
  </si>
  <si>
    <t>PLACA DE AQUAPANEL DE 15MM</t>
  </si>
  <si>
    <t>TAB_CER</t>
  </si>
  <si>
    <t>ALICATADO CERÁMICO BLANCO MATE 120X60CM</t>
  </si>
  <si>
    <t>ACABADO CERAMICO</t>
  </si>
  <si>
    <t>ALICATADO CERÁMICO BLANCO</t>
  </si>
  <si>
    <t>TAB_DM13</t>
  </si>
  <si>
    <t>TABLERO DE DM DE 13MM</t>
  </si>
  <si>
    <t>TAB_DML</t>
  </si>
  <si>
    <t>TABLERO DE DM</t>
  </si>
  <si>
    <t>TAB_FIJ</t>
  </si>
  <si>
    <t>FIJACIÓN OCULTA PARA PANELADOS EN MADERA</t>
  </si>
  <si>
    <t>TAB_HID</t>
  </si>
  <si>
    <t>PLACA DE YESO LAMINADO HIDRÓFUGO DE 15MM</t>
  </si>
  <si>
    <t>PLACA DE YESO LAMINADO HIDRÓFUGO DE 13+13MM</t>
  </si>
  <si>
    <t>DOBLE PLACA DE YESO LAMINADO HIDRÓFUGO DE</t>
  </si>
  <si>
    <t>TAB_HID_1</t>
  </si>
  <si>
    <t>PLACA DE YESO LAMINADO HIDROFUGO DE 13 MM</t>
  </si>
  <si>
    <t>TAB_HID_2</t>
  </si>
  <si>
    <t>DOBLE PLACA DE YESO LAMINADO HIDRÓFUGO DE 13MM + 13MM</t>
  </si>
  <si>
    <t>TAB_OKU</t>
  </si>
  <si>
    <t>TABLERO DE OKUME</t>
  </si>
  <si>
    <t>TAB_OSB</t>
  </si>
  <si>
    <t>TABLERO OSB DE CHOPO</t>
  </si>
  <si>
    <t>TAB_PIN</t>
  </si>
  <si>
    <t>TAB_PLA</t>
  </si>
  <si>
    <t>PLACA DE YESO LAMINADO DE 13+13MM</t>
  </si>
  <si>
    <t>DOBLE PLACA DE YESO LAMINADO DE 26MM (13+13)</t>
  </si>
  <si>
    <t>TAB_PLA_1</t>
  </si>
  <si>
    <t>PLACA DE YESO LAMINADO DE 13 MM</t>
  </si>
  <si>
    <t>TAB_PLA_2</t>
  </si>
  <si>
    <t>DOBLE PLACA DE YESO LAMINADO DE 13MM + 13 MM</t>
  </si>
  <si>
    <t>TAB_PYL13</t>
  </si>
  <si>
    <t>PLACA DE YESO LAMINADO DE 13MM</t>
  </si>
  <si>
    <t>TAB_PYL2X13</t>
  </si>
  <si>
    <t>PLACA DE YESO LAMINADO DOBLE DE 13+13MM</t>
  </si>
  <si>
    <t>TAB_PYLH13</t>
  </si>
  <si>
    <t>PLACA DE YESO LAMINADO HIDRÓFUGO DE 13MM</t>
  </si>
  <si>
    <t>TAB_PYLH2X13</t>
  </si>
  <si>
    <t>PLACA DE YESO LAMINADO HIDRÓFUGO DOBLE DE 13+13MM</t>
  </si>
  <si>
    <t>TAB_TAB</t>
  </si>
  <si>
    <t>TABLONES DE PINO SIN CEPILLAR EN SIERRA</t>
  </si>
  <si>
    <t>12 Pavimentos</t>
  </si>
  <si>
    <t>PAV_CORCH</t>
  </si>
  <si>
    <t>TARIMA DE CORCHO</t>
  </si>
  <si>
    <t>PAV_ROAL</t>
  </si>
  <si>
    <t>RODAPIÉ DE ALUMINIO LACADO EN BLANCO</t>
  </si>
  <si>
    <t>RODAPIÉ DE ALUMINIO</t>
  </si>
  <si>
    <t>PAV_RODMPVC</t>
  </si>
  <si>
    <t>RODAPIÉ DM REVESTIDO DE PVC BLANCO</t>
  </si>
  <si>
    <t>PAV_SC</t>
  </si>
  <si>
    <t>SOLADO CERÁMICO</t>
  </si>
  <si>
    <t>PAV_SC_GTME_60X60</t>
  </si>
  <si>
    <t>SOLADO CERÁMICO GEOTILES MEMORY 30X60CM (A</t>
  </si>
  <si>
    <t>PAV_SOCE</t>
  </si>
  <si>
    <t>PAV_TAPI</t>
  </si>
  <si>
    <t>TARIMA DE PINO TERMOTRATADO</t>
  </si>
  <si>
    <t>PAV_TARO</t>
  </si>
  <si>
    <t>TARIMA DE ROBLE</t>
  </si>
  <si>
    <t>PAV_TM</t>
  </si>
  <si>
    <t>TARIMA DE MADERA</t>
  </si>
  <si>
    <t>13 Techos</t>
  </si>
  <si>
    <t>TEC_ABE</t>
  </si>
  <si>
    <t>TECHO DE ABEDUL</t>
  </si>
  <si>
    <t>TEC_AQU</t>
  </si>
  <si>
    <t>TECHO DE AQUAPANEL</t>
  </si>
  <si>
    <t>TEC_OSB</t>
  </si>
  <si>
    <t>TECHO DE OSB</t>
  </si>
  <si>
    <t>TEC_PIN</t>
  </si>
  <si>
    <t>TECHO DE CONTRACHAPADO DE PINO</t>
  </si>
  <si>
    <t>TEC_PIN_B</t>
  </si>
  <si>
    <t>PINTURA BLANCA TECHO PLACA DE YESO LAMINADO</t>
  </si>
  <si>
    <t>TEC_PIN_BAM</t>
  </si>
  <si>
    <t>TECHO DE PLACA DE YESO LAMINADO HIDRÓFUGO DE 15MM</t>
  </si>
  <si>
    <t>TEC_PLA</t>
  </si>
  <si>
    <t>TECHO DE PLACA DE YESO LAMINADO DE 15MM</t>
  </si>
  <si>
    <t>TEC_PLH</t>
  </si>
  <si>
    <t>TECHO DE PLACA DE YESO LAMINADO HIDRÓFUGO DE</t>
  </si>
  <si>
    <t>14 Baños</t>
  </si>
  <si>
    <t>02.07.14</t>
  </si>
  <si>
    <t>BAÑO DE CUBRO (GAMA LACA)</t>
  </si>
  <si>
    <t>BAN_BID_TES</t>
  </si>
  <si>
    <t>BIDET TESI SUSPENDIDO</t>
  </si>
  <si>
    <t>BAN_COL_GR</t>
  </si>
  <si>
    <t>COLOCAION DE LAVABO, GRIFO Y SIFON</t>
  </si>
  <si>
    <t>BAN_DUC_PLA_80X100</t>
  </si>
  <si>
    <t>PLATO DE DUCHA DE 80X100CM</t>
  </si>
  <si>
    <t>BAN_DUC_PLA_80X140</t>
  </si>
  <si>
    <t>PLATO DE DUCHA DE 80X140CM</t>
  </si>
  <si>
    <t>BAN_DUC_PLA_90X128</t>
  </si>
  <si>
    <t>PLATO DE DUCHA DE 90X128CM</t>
  </si>
  <si>
    <t>BAN_DUC_PLA_90X205</t>
  </si>
  <si>
    <t>PLATO DE DUCHA DE 90X205CM</t>
  </si>
  <si>
    <t>BAN_DUC_THA</t>
  </si>
  <si>
    <t>CONJUNTO DE DUCHA IMEX THALOS STICK CROMADO</t>
  </si>
  <si>
    <t>BAN_ESP</t>
  </si>
  <si>
    <t>ESPEJO PLATEADO CON BASTIDOR PARA LED</t>
  </si>
  <si>
    <t>BAN_GRI_ETN</t>
  </si>
  <si>
    <t>GRIFO EMPOTRADO IMEX ETNA GLT023 CROMADO</t>
  </si>
  <si>
    <t>BAN_IMP</t>
  </si>
  <si>
    <t>IMPERMEABILIZACIÓN PLATO DE DUCHA</t>
  </si>
  <si>
    <t>BAN_INO_TES</t>
  </si>
  <si>
    <t>INODORO TESI SUSPENDIDO CISTERNA OCULTA</t>
  </si>
  <si>
    <t>BAN_INS</t>
  </si>
  <si>
    <t>INSTALACIÓN COMPLETA FONTANERÍA Y SANEAMIENTO BAÑO</t>
  </si>
  <si>
    <t>INSTALACIÓN COMPLETA FONTANERÍA Y</t>
  </si>
  <si>
    <t>BAN_INS_ASE</t>
  </si>
  <si>
    <t>BAN_INS_BAN</t>
  </si>
  <si>
    <t>BAN_LAV_STA</t>
  </si>
  <si>
    <t>LAVABO STARBATH 35X12MM</t>
  </si>
  <si>
    <t>BAN_MAM</t>
  </si>
  <si>
    <t>MAMPARA DE DUCHA DE VIDRIO SEGÚN PLANOS</t>
  </si>
  <si>
    <t>MAMPARA DE VIDRIO 70CM</t>
  </si>
  <si>
    <t>BAN_MAMP</t>
  </si>
  <si>
    <t>MAMPARA FIJA DE VIDRIO</t>
  </si>
  <si>
    <t>BAN_MUE_LAV</t>
  </si>
  <si>
    <t>MUEBLE LAVABO SEGÚN PLANOS</t>
  </si>
  <si>
    <t>MUEBLE ENCIMERA DE BAÑO EN KRION (1,25M)</t>
  </si>
  <si>
    <t>BAN_MUE_LAV_0.5</t>
  </si>
  <si>
    <t>MUEBLE ENCIMERA DE BAÑO EN KRION (0,5M)</t>
  </si>
  <si>
    <t>15 Cocina</t>
  </si>
  <si>
    <t>09TLAV</t>
  </si>
  <si>
    <t>TOMA PARA LAVADORA</t>
  </si>
  <si>
    <t>12CAB.C2M</t>
  </si>
  <si>
    <t>COCINA+ISLA/MUEBLE ABEDUL 2.76-2M</t>
  </si>
  <si>
    <t>COC_ECE_CAM</t>
  </si>
  <si>
    <t>CAMPANA EXTRACTORA BALAY 3BF267EX</t>
  </si>
  <si>
    <t>COC_ECE_HOR</t>
  </si>
  <si>
    <t>HORNO IKEA MATALSKARE</t>
  </si>
  <si>
    <t>COC_ECE_IN2</t>
  </si>
  <si>
    <t>PLACA DE INDUCCIÓN DE 2 FUEGOS IKEA VALBILDAD</t>
  </si>
  <si>
    <t>COC_ECE_IN4</t>
  </si>
  <si>
    <t>PLACA DE INDUCCIÓN DE 4 FUEGOS IKEA 300 MATMASSIG</t>
  </si>
  <si>
    <t>COC_ECE_LVV</t>
  </si>
  <si>
    <t>LAVAVAJILLAS IKEA LAGAN</t>
  </si>
  <si>
    <t>COC_ECE_NEA</t>
  </si>
  <si>
    <t>NEVERA ALTA IKEA 500 TINAD</t>
  </si>
  <si>
    <t>COC_ECE_NEB</t>
  </si>
  <si>
    <t>NEVERA BAJA IKEA 500 HUTTRA</t>
  </si>
  <si>
    <t>COC_ECP_CAM</t>
  </si>
  <si>
    <t>COC_ECP_HOR</t>
  </si>
  <si>
    <t>HORNO PIROLÍTICO SAMSUNG 68L NV68A1170BS</t>
  </si>
  <si>
    <t>COC_ECP_IN2</t>
  </si>
  <si>
    <t>PLACA BOSCH SERIE 6 DOMINO INDUCCIÓN</t>
  </si>
  <si>
    <t>COC_ECP_LVV</t>
  </si>
  <si>
    <t>LAVAVAJILLAS SERIE 6000 SATELLITE CLEAN</t>
  </si>
  <si>
    <t>COC_ECP_NEA</t>
  </si>
  <si>
    <t>FRIGORÍFICO COMBI AEG 925501322 NO FROST</t>
  </si>
  <si>
    <t>COC_EPC_LAV</t>
  </si>
  <si>
    <t>LAVADORA SECADORA CARGA FRONTAL</t>
  </si>
  <si>
    <t>COC_MOB_A_60</t>
  </si>
  <si>
    <t>MUEBLE ALTO DE COCINA DE 60X45X74CM ABEDUL</t>
  </si>
  <si>
    <t>COC_MOB_B_60</t>
  </si>
  <si>
    <t>MUEBLE BAJO DE COCINA DE 60X65X93CM ABEDUL</t>
  </si>
  <si>
    <t>COC_MOB_R</t>
  </si>
  <si>
    <t>TAPETA DE ABEDUL PERFORADA PARA IMPULSIÓN Y EXTRACCIÓ</t>
  </si>
  <si>
    <t>COC_OTR_EKR</t>
  </si>
  <si>
    <t>ENCIMERA DE KRION DE 66CM</t>
  </si>
  <si>
    <t>COC_OTR_EKR_FYP</t>
  </si>
  <si>
    <t>ENCIMERA DE KRION DE 66CM CON TALADRO PARA FREGADERO Y</t>
  </si>
  <si>
    <t>ENCIMERA DE KRION DE 66CM CON TALADRO PARA FREGADERO Y PLACA</t>
  </si>
  <si>
    <t>COC_OTR_FKR</t>
  </si>
  <si>
    <t>FRENTE DE KRION DE 63CM</t>
  </si>
  <si>
    <t>COC_OTR_FRG</t>
  </si>
  <si>
    <t>FREGADERO INOX</t>
  </si>
  <si>
    <t>COC_OTR_GRI</t>
  </si>
  <si>
    <t>GRIFO COCINA CROMADO</t>
  </si>
  <si>
    <t>16 Climatización y ventilación</t>
  </si>
  <si>
    <t>CLI_AAC_1X2</t>
  </si>
  <si>
    <t>AIRE ACONDICIONADO DE CONDUCTOS (1UD EXTERIOR + 2UD INT</t>
  </si>
  <si>
    <t>CLI_AAC_1X4</t>
  </si>
  <si>
    <t>AIRE ACONDICIONADO DE CONDUCTOS (1UD EXTERIOR + 4UD INT</t>
  </si>
  <si>
    <t>AIRE ACONDICIONADO DE CONDUCTOS (1UD EXTERIOR + 4UD INTERIORES)</t>
  </si>
  <si>
    <t>CLI_AAC_CON</t>
  </si>
  <si>
    <t>CONDUCTO DE CHAPA DE ACERO GALVANIZADO</t>
  </si>
  <si>
    <t>CLI_EST</t>
  </si>
  <si>
    <t>ESTUFA DE LEÑA</t>
  </si>
  <si>
    <t>CLI_EXT_COC</t>
  </si>
  <si>
    <t>EXTRACCION DE COCINA</t>
  </si>
  <si>
    <t>CLI_FAN</t>
  </si>
  <si>
    <t>FANCOIL</t>
  </si>
  <si>
    <t>CLI_FAN_PAR</t>
  </si>
  <si>
    <t>FANCOIL DE PARED</t>
  </si>
  <si>
    <t>CLI_FAN_PREINS</t>
  </si>
  <si>
    <t>PREINSTALACION FANCOILS</t>
  </si>
  <si>
    <t>CLI_RAD_SUE</t>
  </si>
  <si>
    <t>SUELO RADIANTE</t>
  </si>
  <si>
    <t>CLI_TER_AAC</t>
  </si>
  <si>
    <t>TERMOSTATO AIRE ACONDICIONADO</t>
  </si>
  <si>
    <t>CLI_TOE</t>
  </si>
  <si>
    <t>TOALLERO ELÉCTRICO</t>
  </si>
  <si>
    <t>VEN_CHI</t>
  </si>
  <si>
    <t>CHIMENEA DE VENTILACIÓN CON SOMBRERETE</t>
  </si>
  <si>
    <t>VEN_EXT</t>
  </si>
  <si>
    <t>EXTRACTOR DE BAÑO</t>
  </si>
  <si>
    <t>17 Aerotermia</t>
  </si>
  <si>
    <t>02.11.01</t>
  </si>
  <si>
    <t>MÓDULO FOTOVOLTAICO SERAPHIM SRP-450-BMB-HV</t>
  </si>
  <si>
    <t>02.11.06</t>
  </si>
  <si>
    <t>CIE DE LA INSTALACIÓN (BOLETÍN) Y LEGALIZACIÓN EN INDUSTRIA</t>
  </si>
  <si>
    <t>AER_100_120</t>
  </si>
  <si>
    <t>AEROTERMIA PANASONIC PARA 100-120M2</t>
  </si>
  <si>
    <t>INSTALACIÓN DE CORRIENTE ALTERNA Y PUESTA A TIERRA</t>
  </si>
  <si>
    <t>AER_120_150</t>
  </si>
  <si>
    <t>AEROTERMIA PANASONIC PARA 120-150M2</t>
  </si>
  <si>
    <t>MANO DE OBRA DE MONTAJE CON DESPLAZAMIENTO A</t>
  </si>
  <si>
    <t>AER_150_</t>
  </si>
  <si>
    <t>AEROTERMIA PANASONIC ALL IN ONE</t>
  </si>
  <si>
    <t>AER_30_50</t>
  </si>
  <si>
    <t>AEROTERMIA PANASONIC PARA 30-50M2</t>
  </si>
  <si>
    <t>INVERSOR HÍBRIDO GOODWE GW6000-EHR</t>
  </si>
  <si>
    <t>AER_50_80</t>
  </si>
  <si>
    <t>AEROTERMIA PANASONIC PARA 50-80M2</t>
  </si>
  <si>
    <t>ESTRUCTURA PARA PANELES FV SOBRE CUBIERTA PLANA</t>
  </si>
  <si>
    <t>AER_80_100</t>
  </si>
  <si>
    <t>AEROTERMIA PANASONIC PARA 80-100M2</t>
  </si>
  <si>
    <t>INSTALACIÓN DE CORRIENTE CONTÍNUA</t>
  </si>
  <si>
    <t>AER_ACS</t>
  </si>
  <si>
    <t>AEROTERMIA (ACS)</t>
  </si>
  <si>
    <t>18 Fotovoltaica</t>
  </si>
  <si>
    <t>FOT_AC_CIE</t>
  </si>
  <si>
    <t>CIE DE LA INSTALACIÓN (BOLETÍN)</t>
  </si>
  <si>
    <t>FOT_AC_EST</t>
  </si>
  <si>
    <t>ESTRCUTURA PARA 10 PANELES</t>
  </si>
  <si>
    <t>FOT_AC_IH3600W</t>
  </si>
  <si>
    <t>INVERSOR HÍBRIDO GOODWE GW36000-EHR</t>
  </si>
  <si>
    <t>FOT_AC_INSCA</t>
  </si>
  <si>
    <t>FOT_AC_INSCC</t>
  </si>
  <si>
    <t>FOT_AC_MDOPL</t>
  </si>
  <si>
    <t>MANO DE OBRA DE MONTAJE CON DESPLAZAMIENTO A PLASENCIA</t>
  </si>
  <si>
    <t>FOT_AC_PS450W</t>
  </si>
  <si>
    <t>PANELES SOLARES FV RISEN RSM144-7-450M</t>
  </si>
  <si>
    <t>FOT_AS_BAT48V</t>
  </si>
  <si>
    <t>BATERÍAS DE LITIO TURBO ENERGY US2000 48V 50A 5.1KWH</t>
  </si>
  <si>
    <t>FOT_AS_BOL</t>
  </si>
  <si>
    <t>BOLETÍN DE LA INSTALACIÓN Y LEGALIZACIÓN EN INDUSTRI</t>
  </si>
  <si>
    <t>FOT_AS_EST</t>
  </si>
  <si>
    <t>FOT_AS_IH5000W</t>
  </si>
  <si>
    <t>INVERSOR HÍBRIDO TURBO ENERGY HYBRID SERIES 48V 5.0</t>
  </si>
  <si>
    <t>FOT_AS_INSCA</t>
  </si>
  <si>
    <t>FOT_AS_INSCC</t>
  </si>
  <si>
    <t>FOT_AS_MDO</t>
  </si>
  <si>
    <t>MANO DE OBRA DE MONTAJE DEL SISTEMA Y DESPLAZAMIENTOS</t>
  </si>
  <si>
    <t>FOT_AS_PS450W</t>
  </si>
  <si>
    <t>19 Transporte, montaje y operarios</t>
  </si>
  <si>
    <t>GRU</t>
  </si>
  <si>
    <t>GRÚA</t>
  </si>
  <si>
    <t>h</t>
  </si>
  <si>
    <t>GRÚA (FACTURA MORENO)</t>
  </si>
  <si>
    <t>LIM</t>
  </si>
  <si>
    <t>LIMPIEZA FINAL</t>
  </si>
  <si>
    <t>OPE</t>
  </si>
  <si>
    <t>OPERARIOS</t>
  </si>
  <si>
    <t>OPE_AL</t>
  </si>
  <si>
    <t>ALOJAMIENTO OPERARIOS</t>
  </si>
  <si>
    <t>OPE_DI</t>
  </si>
  <si>
    <t>DIETAS OPERARIOS</t>
  </si>
  <si>
    <t>OPE_HO</t>
  </si>
  <si>
    <t>HORAS DE TRABAJO OPERARIOS</t>
  </si>
  <si>
    <t>OPE_KI</t>
  </si>
  <si>
    <t>KILOMETRAJE OPERARIOS</t>
  </si>
  <si>
    <t>km</t>
  </si>
  <si>
    <t>TRA</t>
  </si>
  <si>
    <t>TRANSPORTE</t>
  </si>
  <si>
    <t>TRANSPORTE (FACTURA MORENO)</t>
  </si>
  <si>
    <t>Otros</t>
  </si>
  <si>
    <t>ES_PI_HEA100</t>
  </si>
  <si>
    <t>TE_AC_TM</t>
  </si>
  <si>
    <t>TE_EST_CO_80.60</t>
  </si>
  <si>
    <t>TE_EST_VI_200</t>
  </si>
  <si>
    <t>IPE 200</t>
  </si>
  <si>
    <t>Ejemplo de relleno: en la fila de VIGA IPE200 pon en «COSTE 2026» el €/kg soldado que te pase el taller (p. ej. 3,40) y el margen (p. ej. 20 %); el precio de venta 2026 sale solo.</t>
  </si>
  <si>
    <t>RESUMEN POR PROYECTO: presupuesto de venta 2024 por capítulo</t>
  </si>
  <si>
    <t xml:space="preserve">Fenwick (Guadalajara)
€</t>
  </si>
  <si>
    <t xml:space="preserve">Menorca Pino (may-24)
€</t>
  </si>
  <si>
    <t xml:space="preserve">Menorca Pino (oct-24)
€</t>
  </si>
  <si>
    <t xml:space="preserve">Sotopinilla
€</t>
  </si>
  <si>
    <t xml:space="preserve">Burdeos (Francia)
€</t>
  </si>
  <si>
    <t xml:space="preserve">El Boalo (Tini 85)
€</t>
  </si>
  <si>
    <t xml:space="preserve">Fenwick (Guadalajara)
€/m²</t>
  </si>
  <si>
    <t xml:space="preserve">Menorca Pino (may-24)
€/m²</t>
  </si>
  <si>
    <t xml:space="preserve">Menorca Pino (oct-24)
€/m²</t>
  </si>
  <si>
    <t xml:space="preserve">Sotopinilla
€/m²</t>
  </si>
  <si>
    <t xml:space="preserve">Burdeos (Francia)
€/m²</t>
  </si>
  <si>
    <t xml:space="preserve">El Boalo (Tini 85)
€/m²</t>
  </si>
  <si>
    <t>Superficie (m²)</t>
  </si>
  <si>
    <t>Estructura</t>
  </si>
  <si>
    <t>Fachada y tabiques (panel)</t>
  </si>
  <si>
    <t>Cubierta</t>
  </si>
  <si>
    <t>Suelo</t>
  </si>
  <si>
    <t>Electricidad</t>
  </si>
  <si>
    <t>Cerrajería</t>
  </si>
  <si>
    <t>Fontanería</t>
  </si>
  <si>
    <t>Acabado de fachada</t>
  </si>
  <si>
    <t>Carpintería exterior</t>
  </si>
  <si>
    <t>Carpintería interior</t>
  </si>
  <si>
    <t>Tabiquería</t>
  </si>
  <si>
    <t>Pavimentos</t>
  </si>
  <si>
    <t>Techos</t>
  </si>
  <si>
    <t>Baños</t>
  </si>
  <si>
    <t>Cocina</t>
  </si>
  <si>
    <t>Climatización y ventilación</t>
  </si>
  <si>
    <t>Aerotermia</t>
  </si>
  <si>
    <t>Fotovoltaica</t>
  </si>
  <si>
    <t>Transporte, montaje y operarios (+ obra in situ en Sotopinilla)</t>
  </si>
  <si>
    <t>TOTAL PRESUPUESTO</t>
  </si>
  <si>
    <t>Comprobación: total del presupuesto original</t>
  </si>
  <si>
    <t>Diferencia (partidas fuera de capítulo estándar)</t>
  </si>
  <si>
    <t>Notas:</t>
  </si>
  <si>
    <t>• Sotopinilla incluye 76.924 € de implantación y obra in situ (cimentación, movimiento de tierras, terrazas) dentro de «Transporte, montaje…». Sin eso, fábrica + transporte ≈ 207.000 € (1.355 €/m²).</t>
  </si>
  <si>
    <t>• En Sotopinilla, cocina y baños se compraron a Cubro con un descuento de 5.431 €, y la aerotermia y la fotovoltaica son de Escotermia.</t>
  </si>
  <si>
    <t>• Burdeos no incluye transporte ni montaje (solo limpieza).</t>
  </si>
  <si>
    <t>• El Boalo: la diferencia (8.037 €) es la terraza (estructura IPE200/RHS y tarima de pino termotratado), fuera de los capítulos estándar.</t>
  </si>
  <si>
    <t>• Menorca Pino: la «toma general de tierras» está medida 310 veces en lugar de 1 (+10.490 € de más en el presupuesto de venta). El error sigue en la versión de octubre.</t>
  </si>
  <si>
    <t>• Menorca, de mayo a octubre de 2024: se suben los paneles a Tabihaus (+6.571 €), la estructura baja 1.991 € y los baños llevan mampara y colocación (+2.976 €). La climatización pasa de fancoils a solo ventilación (-11.356 €) y la aerotermia de 10.270 € a 2.039 €. En transporte hay 5 viajes a 4.400 € en lugar de 4 a 4.600 €. Total: -8.431 €.</t>
  </si>
  <si>
    <t>• Menorca oct-24: en «Banco de precios» faltan algunas partidas (carpintería, armarios, tarima) porque no se pudieron leer del PDF. Son iguales que en mayo y ya están en esa columna.</t>
  </si>
  <si>
    <t>COSTE REAL IMPUTADO (analítica DWHAI a 29/11/2024) FRENTE A LO CERTIFICADO A TINI</t>
  </si>
  <si>
    <t>Importes sin IVA. Solo facturas de proveedor imputadas a cada proyecto; no incluye gastos generales (385.104 €). Menorca y Sotopinilla están INCOMPLETOS.</t>
  </si>
  <si>
    <t>Concepto</t>
  </si>
  <si>
    <t>Guadalajara (Fenwick)</t>
  </si>
  <si>
    <t>Menorca Pino</t>
  </si>
  <si>
    <t>Sotopinilla</t>
  </si>
  <si>
    <t>Burdeos</t>
  </si>
  <si>
    <t>Estructura (taller)</t>
  </si>
  <si>
    <t>Panel sándwich y aislamiento</t>
  </si>
  <si>
    <t>Carpintería (puertas, ventanas, tabique móvil, escalera)</t>
  </si>
  <si>
    <t>Suelos y paredes</t>
  </si>
  <si>
    <t>Pintura</t>
  </si>
  <si>
    <t>Iluminación</t>
  </si>
  <si>
    <t>Climatización</t>
  </si>
  <si>
    <t>Baños y fontanería</t>
  </si>
  <si>
    <t>Mano de obra propia imputada</t>
  </si>
  <si>
    <t>Transporte</t>
  </si>
  <si>
    <t>Materiales de almacén, film, varios</t>
  </si>
  <si>
    <t>Intereses y abonos</t>
  </si>
  <si>
    <t>COSTE DIRECTO IMPUTADO</t>
  </si>
  <si>
    <t>Certificado a Tini (ingreso DWHAI)</t>
  </si>
  <si>
    <t>Margen bruto antes de gastos generales</t>
  </si>
  <si>
    <t>% margen bruto</t>
  </si>
  <si>
    <t>¿Coste completo?</t>
  </si>
  <si>
    <t>Sí (casi)</t>
  </si>
  <si>
    <t>Tini pagó directamente carpintería, cocina, baños, clima y transporte</t>
  </si>
  <si>
    <t>Tini pagó directamente cocina, baños y parte del clima y la carpintería</t>
  </si>
  <si>
    <t>Venta de lo que ejecutó DWHAI (sin lo que pagó Tini)</t>
  </si>
  <si>
    <t>Pendiente: confirmar qué partidas pagó Tini</t>
  </si>
  <si>
    <t>Menorca: presupuesto de mayo sin carpintería exterior e interior, baños, cocina, clima, aerotermia, transporte ni grúa.</t>
  </si>
  <si>
    <t>Margen bruto sobre lo ejecutado por DWHAI</t>
  </si>
  <si>
    <t>% margen bruto sobre lo ejecutado</t>
  </si>
  <si>
    <t>RATIOS UNITARIOS DE COSTE REAL</t>
  </si>
  <si>
    <t>Ratio</t>
  </si>
  <si>
    <t>Kg de acero presupuestados</t>
  </si>
  <si>
    <t>Estructura: coste real €/kg (venta 2,80 €/kg + pintura)</t>
  </si>
  <si>
    <t>m² de panel sándwich presupuestados (fachada + cubierta + suelo)</t>
  </si>
  <si>
    <t>Panel: coste real €/m² (venta 54–72 €/m²)</t>
  </si>
  <si>
    <t>Mano de obra propia imputada €/m²</t>
  </si>
  <si>
    <t>Lectura:</t>
  </si>
  <si>
    <t>• Sotopinilla: la estructura (1,56 €/kg) parece facturada solo en parte por Talleres Solman a 29/11; no la uses como referencia.</t>
  </si>
  <si>
    <t>• Guadalajara (Tini L) perdió dinero: la estructura (4,86 €/kg) y la carpintería (20.061 € de coste frente a 16.064 € vendidos) se comieron el margen.</t>
  </si>
  <si>
    <t>• Panel: con Tabihaus (Menorca, Sotopinilla) el coste real (69–83 €/m²) supera el precio de venta de 2024. Con Tejafer y Geo Pannel (Guadalajara, Burdeos) salió mucho más barato. Hay que elegir proveedor y revisar el precio.</t>
  </si>
  <si>
    <t>• Gastos generales de 2024 (no imputados): nave 76.500 €, aval, fianza y alquiler 59.000 €, gestión 60.345 €, mano de obra sin asignar 110.735 €, servicios de proyectos 25.785 €, resto 52.739 €. Total: 385.104 €.</t>
  </si>
  <si>
    <t>PROYECTO 182: MAHÓN (Iván Montero). Resumen de presupuesto Tini, 21/11/2024</t>
  </si>
  <si>
    <t>Alcance: fabricación de estructura principal y secundaria, pintura y panel sándwich (Tini 4, dos plantas). Sin acabados ni instalaciones.</t>
  </si>
  <si>
    <t>Importe</t>
  </si>
  <si>
    <t>% del total</t>
  </si>
  <si>
    <t>Materiales: estructura, pintura, panel sándwich</t>
  </si>
  <si>
    <t>Mano de obra, medios auxiliares, margen de fábrica, otros</t>
  </si>
  <si>
    <t>Gestión y alquiler de nave (1/5 de la fábrica durante 5 meses)</t>
  </si>
  <si>
    <t>Margen Tini</t>
  </si>
  <si>
    <t>TOTAL</t>
  </si>
  <si>
    <t>Ratios que se deducen</t>
  </si>
  <si>
    <t>Mano de obra + margen de fábrica sobre materiales</t>
  </si>
  <si>
    <t>Margen Tini sobre coste de fábrica (fabricación + nave)</t>
  </si>
  <si>
    <t>Coste de nave y gestión equivalente por mes (fábrica entera)</t>
  </si>
  <si>
    <t>24.500 € = 1/5 × 5 meses → ≈ 24.500 €/mes por la fábrica entera</t>
  </si>
  <si>
    <t>Precios de material a coste (proveedor)</t>
  </si>
  <si>
    <t>Acero estructural (€/kg)</t>
  </si>
  <si>
    <t>Galvanizado (€/kg)</t>
  </si>
  <si>
    <t>Poliuretano (€/kg)</t>
  </si>
  <si>
    <t>Panel Tabihaus 8+20+8 (€/m²)</t>
  </si>
  <si>
    <t>Panel Tabihaus 8+50+8 (€/m²)</t>
  </si>
  <si>
    <t>Panel Tabihaus 8+65+8 (€/m²)</t>
  </si>
  <si>
    <t>Panel Tabihaus 8+120+8 (€/m²)</t>
  </si>
  <si>
    <t>OBRA IN SITU: Menorca Pino rv02 (29/08/2024), precios de venta</t>
  </si>
  <si>
    <t>Referencia para lo que NO es fábrica: cimentación, urbanización, acometidas. Total presupuesto: 89.194,46 € (541 €/m² sobre 165 m²).</t>
  </si>
  <si>
    <t>Cantidad</t>
  </si>
  <si>
    <t>Precio</t>
  </si>
  <si>
    <t>ADL010_T_B</t>
  </si>
  <si>
    <t>DESBROCE Y LIMPIEZA DEL TERRENO CON ARBUSTOS A MÁQUINA</t>
  </si>
  <si>
    <t>CRL030</t>
  </si>
  <si>
    <t>HORMIGON DE LIMPIEZA</t>
  </si>
  <si>
    <t>_ZPCO</t>
  </si>
  <si>
    <t>ZAPATAS CORRIDAS o AISLADAS</t>
  </si>
  <si>
    <t>m³</t>
  </si>
  <si>
    <t>CEBH</t>
  </si>
  <si>
    <t>MUROS DE CIMENTACION SOBRE ZAPATAS</t>
  </si>
  <si>
    <t>MPC030</t>
  </si>
  <si>
    <t>PAVIMENTO DE HORMIGON DESACTIVADO SOBRE LOSA</t>
  </si>
  <si>
    <t>Placa de anclaje de acero UNE-EN 10025 S275JR en perfil plano, con rigidizadores y</t>
  </si>
  <si>
    <t>EAS005c</t>
  </si>
  <si>
    <t>UVV020_T</t>
  </si>
  <si>
    <t>DOBLE MALLAZO DE CORRUGADO PARA VALLADO DE PARCELA ENTRE PILARES</t>
  </si>
  <si>
    <t>m21E15VAG060</t>
  </si>
  <si>
    <t>MALLA SIMPLE TORSIÓN GALVANIZADA 50/16 h=2,00 m.</t>
  </si>
  <si>
    <t>LGA020_T_E</t>
  </si>
  <si>
    <t>PUERTA CORREDERA PARA GARAJE, CAPÓN DE ACERO 3mm MOTORIZADA</t>
  </si>
  <si>
    <t>LGA010_E030</t>
  </si>
  <si>
    <t>PUERTA ENTRADA - CHAPÓN DE ACERO DE 3mm - CUBIERTO (5mm) Y CIERRE</t>
  </si>
  <si>
    <t>5657AMTN_T</t>
  </si>
  <si>
    <t>PUERTA ARMARIO CONTADOR</t>
  </si>
  <si>
    <t>05BUZNEXT_T</t>
  </si>
  <si>
    <t>BUZÓN INDIVIDUAL EXTERIOR</t>
  </si>
  <si>
    <t>ECM010</t>
  </si>
  <si>
    <t>Muro de mampostería. PIEDRA MARES</t>
  </si>
  <si>
    <t>ASB010_T_ING</t>
  </si>
  <si>
    <t>Acometida general de saneamiento, para la evacuación de aguas residuales y/o</t>
  </si>
  <si>
    <t>ASB020_T_ING</t>
  </si>
  <si>
    <t>Conexión de la acometida del edificio a la red general de saneamiento del municipio</t>
  </si>
  <si>
    <t>ASC010_T_ING</t>
  </si>
  <si>
    <t>Colector enterrado de red horizontal de saneamiento, con arquetas, con una</t>
  </si>
  <si>
    <t>ASA010_T_ING</t>
  </si>
  <si>
    <t>Arqueta de obra de fábrica de 60x60 cm.</t>
  </si>
  <si>
    <t>UHP010_T_Agua</t>
  </si>
  <si>
    <t>Hornacina prefabricada de hormigón. Agua</t>
  </si>
  <si>
    <t>UHP010_T_Tele</t>
  </si>
  <si>
    <t>Hornacina prefabricada de hormigón.</t>
  </si>
  <si>
    <t>ASD015_T</t>
  </si>
  <si>
    <t>ZANJA DRENAJE</t>
  </si>
  <si>
    <t>IFA010</t>
  </si>
  <si>
    <t>Acometida enterrada para abastecimiento de agua potable de 5,7 m de longitud, que</t>
  </si>
  <si>
    <t>IFB010</t>
  </si>
  <si>
    <t>Alimentación de agua potable, de 6,39 m de longitud, enterrada, formada por tubo de</t>
  </si>
  <si>
    <t>IFC010</t>
  </si>
  <si>
    <t>Preinstalación de contador general de agua 1 1/4" DN 32 mm, colocado en hornacina,</t>
  </si>
  <si>
    <t>IEP010</t>
  </si>
  <si>
    <t>Red de toma de tierra para estructura metálica del edificio compuesta por 37 m de</t>
  </si>
  <si>
    <t>ILA010</t>
  </si>
  <si>
    <t>Arqueta de entrada prefabricada para ICT de 400x400x600 mm de dimensiones</t>
  </si>
  <si>
    <t>ILA020</t>
  </si>
  <si>
    <t>Canalización externa, entre la arqueta de entrada y el registro de enlace inferior en el</t>
  </si>
  <si>
    <t>ILI001</t>
  </si>
  <si>
    <t>Registro de terminación de red, formado por caja de plástico para disposición del</t>
  </si>
  <si>
    <t>IAA100</t>
  </si>
  <si>
    <t>Cable coaxial clase A, de 75 ± 2 Ohm, reacción al fuego clase Dca-s2,d2,a2 según</t>
  </si>
  <si>
    <t>_INC_01</t>
  </si>
  <si>
    <t>PUNTOS DE LUZ EXTERIORES BAJO TUBO</t>
  </si>
  <si>
    <t>mE17PM010AMB</t>
  </si>
  <si>
    <t>ARMARIO PROT/MED/SECC. PARA EXTERIOR</t>
  </si>
  <si>
    <t>mE20CIA050AMT</t>
  </si>
  <si>
    <t>CONTADOR DE AGUA/RECORRIDO TUBERÍA</t>
  </si>
  <si>
    <t>HYA010_ELE</t>
  </si>
  <si>
    <t>Ayudas de albañilería para ejecución de instalaciones.</t>
  </si>
  <si>
    <t>0.15.1AMB</t>
  </si>
  <si>
    <t>XEB010</t>
  </si>
  <si>
    <t>Ensayo de barras corrugadas de acero de un mismo lote.</t>
  </si>
  <si>
    <t>XEM010</t>
  </si>
  <si>
    <t>Ensayo de mallas electrosoldadas de un mismo lote.</t>
  </si>
  <si>
    <t>XEH010</t>
  </si>
  <si>
    <t>Ensayo de consistencia y resistencia del hormigón de un mismo lote.</t>
  </si>
  <si>
    <t>XMP010</t>
  </si>
  <si>
    <t>Ensayo destructivo de perfiles laminados.</t>
  </si>
  <si>
    <t>XMS020</t>
  </si>
  <si>
    <t>Ensayo no destructivo de soldaduras en estructuras metálicas.</t>
  </si>
  <si>
    <t>Suma de partidas identificadas</t>
  </si>
  <si>
    <t>Totales por capítulo del original</t>
  </si>
  <si>
    <t>Movimiento de tierras</t>
  </si>
  <si>
    <t>Hormigón de limpieza</t>
  </si>
  <si>
    <t>Zapatas</t>
  </si>
  <si>
    <t>Muros de cimentación</t>
  </si>
  <si>
    <t>Placas de anclaje</t>
  </si>
  <si>
    <t>Cerramiento de parcela y puertas</t>
  </si>
  <si>
    <t>Terrazas y muro de marés</t>
  </si>
  <si>
    <t>Acometidas e instalaciones</t>
  </si>
  <si>
    <t>Gestión de residuos y limpieza</t>
  </si>
  <si>
    <t>Control de calidad</t>
  </si>
  <si>
    <t>Seguridad y salud</t>
  </si>
  <si>
    <t>Pavimento de hormigón desactivado</t>
  </si>
  <si>
    <t>Algunas partidas del PDF perdieron el código al extraerlas; los totales por capítulo sí están completos.</t>
  </si>
  <si>
    <t>COSTE MENSUAL DE LA FÁBRICA (Seseña, 2024)</t>
  </si>
  <si>
    <t>Fuente: resúmenes de nómina de DWHAI Human Knowledge (junio a noviembre de 2024) y analítica DWHAI. Importes agregados; sin datos individuales.</t>
  </si>
  <si>
    <t>Mes</t>
  </si>
  <si>
    <t>Nº operarios</t>
  </si>
  <si>
    <t>Devengos (bruto)</t>
  </si>
  <si>
    <t>S.S. empresa</t>
  </si>
  <si>
    <t>Coste total</t>
  </si>
  <si>
    <t>Coste por operario</t>
  </si>
  <si>
    <t>de ello, dietas y km</t>
  </si>
  <si>
    <t>Junio 2024</t>
  </si>
  <si>
    <t>Julio 2024</t>
  </si>
  <si>
    <t>Agosto 2024</t>
  </si>
  <si>
    <t>Septiembre 2024</t>
  </si>
  <si>
    <t>Octubre 2024</t>
  </si>
  <si>
    <t>Noviembre 2024</t>
  </si>
  <si>
    <t>Media septiembre–noviembre (plantilla completa)</t>
  </si>
  <si>
    <t>Nº de operarios por mes: contado desde la nómina. Solo operarios de fábrica, sin dirección ni oficina técnica.</t>
  </si>
  <si>
    <t>ESTRUCTURA FIJA MENSUAL (plantilla completa)</t>
  </si>
  <si>
    <t>€/mes</t>
  </si>
  <si>
    <t>Fuente</t>
  </si>
  <si>
    <t>Mano de obra de fábrica (nómina + S.S.)</t>
  </si>
  <si>
    <t>Media sep–nov 2024</t>
  </si>
  <si>
    <t>Alquiler de nave (Prefabricados la Mancha)</t>
  </si>
  <si>
    <t>Facturas mensuales, marzo–noviembre 2024</t>
  </si>
  <si>
    <t>Suministros de nave (luz, gas, limpieza, alarma, teléfono…)</t>
  </si>
  <si>
    <t>12.806 € en 8 meses, redondeado</t>
  </si>
  <si>
    <t>Oficina técnica / proyectos (Arquimedia)</t>
  </si>
  <si>
    <t>Facturas de septiembre y octubre de 2024</t>
  </si>
  <si>
    <t>Gestión (CH109) y asesoría</t>
  </si>
  <si>
    <t>CH109 3.663 €/mes + asesoría 164 €/mes</t>
  </si>
  <si>
    <t>Seguros y prevención</t>
  </si>
  <si>
    <t>Multirriesgo 3.545 € al año + prevención</t>
  </si>
  <si>
    <t>COSTE FIJO DE FÁBRICA AL MES</t>
  </si>
  <si>
    <t>En Mahón se repercutió nave + gestión como 24.500 €/mes (1/5 durante 5 meses). Aquí salen B17:B21.</t>
  </si>
  <si>
    <t>RATIOS</t>
  </si>
  <si>
    <t>Horas por operario al mes</t>
  </si>
  <si>
    <t>Supuesto: 40 h × 4 semanas</t>
  </si>
  <si>
    <t>% de horas productivas</t>
  </si>
  <si>
    <t>Supuesto: descontadas vacaciones, bajas y tiempos muertos</t>
  </si>
  <si>
    <t>Coste hora de operario (solo nómina)</t>
  </si>
  <si>
    <t>Coste hora con toda la estructura de fábrica</t>
  </si>
  <si>
    <t>Lo que hay que cobrar por hora de fábrica para cubrir costes, sin margen</t>
  </si>
  <si>
    <t>m² de vivienda fabricados al mes</t>
  </si>
  <si>
    <t>RELLENAR: capacidad real con la plantilla completa</t>
  </si>
  <si>
    <t>Coste fijo de fábrica por m² fabricado</t>
  </si>
  <si>
    <t>Se suma a materiales y subcontratas</t>
  </si>
  <si>
    <t>Horas de fábrica por m²</t>
  </si>
  <si>
    <t>Referencia de coste de mano de obra imputada en 2024: Menorca 115 €/m², Sotopinilla 98 €/m², Burdeos 173 €/m², Guadalajara 351 €/m². Además, 110.735 € de mano de obra quedaron en gastos generales sin repartir.</t>
  </si>
  <si>
    <t>TIEMPOS POR OFICIO EN UNA CASA (fabricación en cadena)</t>
  </si>
  <si>
    <t>Cada oficio pasa de una casa a la siguiente. Lo que la fábrica produce al mes lo marca el oficio que más días pasa en cada casa (el cuello de botella).</t>
  </si>
  <si>
    <t>Rellena las celdas AMARILLAS con los datos de una casa de referencia (p. ej. Menorca Pino, 165 m²). Se admiten días aproximados.</t>
  </si>
  <si>
    <t>m² de la casa de referencia</t>
  </si>
  <si>
    <t>Menorca Pino (medición de limpieza final)</t>
  </si>
  <si>
    <t>Días laborables al mes</t>
  </si>
  <si>
    <t>Horas por jornada</t>
  </si>
  <si>
    <t>Coste hora de operario (nómina + S.S.)</t>
  </si>
  <si>
    <t>Oficio</t>
  </si>
  <si>
    <t>Nº personas</t>
  </si>
  <si>
    <t>Días por casa</t>
  </si>
  <si>
    <t>Horas por casa</t>
  </si>
  <si>
    <t>Coste mano de obra</t>
  </si>
  <si>
    <t>€/m²</t>
  </si>
  <si>
    <t>Qué incluye</t>
  </si>
  <si>
    <t>Soldadura (estructura y modelos)</t>
  </si>
  <si>
    <t>Pilares, vigas, correas, refuerzos, pletinas</t>
  </si>
  <si>
    <t>Montaje de panel Tabihaus</t>
  </si>
  <si>
    <t>Fachada, cubierta y suelo</t>
  </si>
  <si>
    <t>Cubierta: impermeabilización, canalón y albardilla</t>
  </si>
  <si>
    <t>Pladur: tabiquería, trasdosados y techos</t>
  </si>
  <si>
    <t>Cableado, mecanismos, iluminación</t>
  </si>
  <si>
    <t>Fontanería y saneamiento</t>
  </si>
  <si>
    <t>Baños, cocina, ACS</t>
  </si>
  <si>
    <t>Carpintería: ventanas, puertas y armarios</t>
  </si>
  <si>
    <t>Colocación</t>
  </si>
  <si>
    <t>Pavimentos y alicatados</t>
  </si>
  <si>
    <t>Tarima, cerámica, rodapiés</t>
  </si>
  <si>
    <t>Estructura vista, paramentos, techos</t>
  </si>
  <si>
    <t>Revestimientos y remates</t>
  </si>
  <si>
    <t>Cocina, baños y remates finales</t>
  </si>
  <si>
    <t>Montaje de muebles, sanitarios, limpieza</t>
  </si>
  <si>
    <t>TOTAL CASA</t>
  </si>
  <si>
    <t>Días del oficio cuello de botella</t>
  </si>
  <si>
    <t>Cada cuántos días sale una casa con la cadena rodando</t>
  </si>
  <si>
    <t>Plazo de una casa de principio a fin (días)</t>
  </si>
  <si>
    <t>Si los oficios no se solapan dentro de la casa. En 2024, Menorca: 6–7 meses para las dos casas</t>
  </si>
  <si>
    <t>Casas al mes con la cadena llena</t>
  </si>
  <si>
    <t>m² al mes</t>
  </si>
  <si>
    <t>Coste fijo de fábrica por casa</t>
  </si>
  <si>
    <t>Nave, oficina técnica, gestión y plantilla completa, repartidos entre las casas del mes</t>
  </si>
  <si>
    <t>Coste fijo de fábrica por m²</t>
  </si>
  <si>
    <t>Ejemplo de cómo rellenar (no es un dato real): «Soldadura | 3 personas | 15 días» → 360 h por casa.</t>
  </si>
  <si>
    <t>Si la plantilla está sin ocupar mientras espera al cuello de botella, su coste ya va en el coste fijo por casa: la mano de obra por oficio sirve para ver dónde se va el tiempo, no se suma dos veces.</t>
  </si>
  <si>
    <t>Proyecto</t>
  </si>
  <si>
    <t>Incidencia</t>
  </si>
  <si>
    <t>Fenwick</t>
  </si>
  <si>
    <t>El Excel del 25/11/2024 tiene el transporte como 3.050 u × 3.050 € = 9.302.500 €. En el banco se ha usado el PDF del 16/04/2024 (5.925 € de transporte y operarios).</t>
  </si>
  <si>
    <t>La «toma general de tierras» está medida 310 veces en lugar de 1: 10.524 € en lugar de 34 €. Sigue igual en la versión del 30/10/2024.</t>
  </si>
  <si>
    <t>A Tini se le certificaron 280.491,85 € (versión de mayo), pero el presupuesto de octubre baja a 272.060,55 €. Hay que confirmar qué versión se facturó al final.</t>
  </si>
  <si>
    <t>En la versión de octubre, la aerotermia se vende a 2.038,50 € y Escotermia la presupuestó a 2.182,98 € de coste (11/04/2024): se vende por debajo del coste.</t>
  </si>
  <si>
    <t>Menorca / Soto</t>
  </si>
  <si>
    <t>La analítica a 29/11/2024 no recoge el coste de carpintería (Menorca: 0 €), cocina, baños, clima ni transporte. El margen aparente no es real.</t>
  </si>
  <si>
    <t>Los capítulos FOT y AER tienen los nombres cruzados (FOT = aerotermia, AER = fotovoltaica).</t>
  </si>
  <si>
    <t>El Boalo</t>
  </si>
  <si>
    <t>Certificados a Tini 145.324 €, pero a 29/11/2024 solo hay imputados 11.688 € de estructura (Talleres Solman, 1,51 €/kg). No hay coste real todavía.</t>
  </si>
  <si>
    <t>Guadalajara</t>
  </si>
  <si>
    <t>Margen bruto negativo: coste directo 130.044 € frente a 109.499 € certificados.</t>
  </si>
  <si>
    <t>Todos</t>
  </si>
  <si>
    <t>El precio del acero (2,80 €/kg) no cambia de un proyecto a otro aunque el coste real osciló entre 2,9 y 5,3 €/kg.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</si>
</sst>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%;-0.0%;-"/>
    <numFmt numFmtId="165" formatCode="#,##0.00 €;-#,##0.00 €;-"/>
    <numFmt numFmtId="166" formatCode="#,##0 €;-#,##0 €;-"/>
    <numFmt numFmtId="167" formatCode="#,##0.0"/>
    <numFmt numFmtId="168" formatCode="0.00&quot;x&quot;"/>
    <numFmt numFmtId="169" formatCode="0.0"/>
  </numFmts>
  <fonts count="9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0"/>
      <name val="Arial"/>
    </font>
    <font>
      <b/>
      <sz val="10"/>
      <name val="Arial"/>
    </font>
    <font>
      <b/>
      <sz val="13"/>
      <name val="Arial"/>
    </font>
    <font>
      <color rgb="FF0000FF"/>
      <sz val="10"/>
      <name val="Arial"/>
    </font>
    <font>
      <b/>
      <color rgb="FFFFFFFF"/>
      <sz val="10"/>
      <name val="Arial"/>
    </font>
    <font>
      <i/>
      <sz val="10"/>
      <name val="Arial"/>
    </font>
    <font>
      <color rgb="FF008000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F2A36"/>
      </patternFill>
    </fill>
    <fill>
      <patternFill patternType="solid">
        <fgColor rgb="FFEFF2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2" fillId="0" borderId="0" xfId="0" applyFont="1"/>
    <xf numFmtId="164" fontId="5" fillId="2" borderId="0" xfId="0" applyNumberFormat="1" applyFont="1" applyFill="1"/>
    <xf numFmtId="0" fontId="6" fillId="3" borderId="0" xfId="0" applyFont="1" applyFill="1" applyAlignment="1">
      <alignment vertical="center" wrapText="1"/>
    </xf>
    <xf numFmtId="165" fontId="0" fillId="0" borderId="0" xfId="0" applyNumberFormat="1"/>
    <xf numFmtId="165" fontId="5" fillId="0" borderId="0" xfId="0" applyNumberFormat="1" applyFont="1"/>
    <xf numFmtId="165" fontId="2" fillId="0" borderId="0" xfId="0" applyNumberFormat="1" applyFont="1"/>
    <xf numFmtId="165" fontId="3" fillId="0" borderId="0" xfId="0" applyNumberFormat="1" applyFont="1"/>
    <xf numFmtId="164" fontId="2" fillId="0" borderId="0" xfId="0" applyNumberFormat="1" applyFont="1"/>
    <xf numFmtId="165" fontId="5" fillId="2" borderId="0" xfId="0" applyNumberFormat="1" applyFont="1" applyFill="1"/>
    <xf numFmtId="0" fontId="2" fillId="4" borderId="0" xfId="0" applyFont="1" applyFill="1"/>
    <xf numFmtId="165" fontId="5" fillId="4" borderId="0" xfId="0" applyNumberFormat="1" applyFont="1" applyFill="1"/>
    <xf numFmtId="165" fontId="2" fillId="4" borderId="0" xfId="0" applyNumberFormat="1" applyFont="1" applyFill="1"/>
    <xf numFmtId="165" fontId="3" fillId="4" borderId="0" xfId="0" applyNumberFormat="1" applyFont="1" applyFill="1"/>
    <xf numFmtId="165" fontId="0" fillId="4" borderId="0" xfId="0" applyNumberFormat="1" applyFill="1"/>
    <xf numFmtId="164" fontId="2" fillId="4" borderId="0" xfId="0" applyNumberFormat="1" applyFont="1" applyFill="1"/>
    <xf numFmtId="0" fontId="7" fillId="0" borderId="0" xfId="0" applyFont="1"/>
    <xf numFmtId="0" fontId="5" fillId="2" borderId="0" xfId="0" applyFont="1" applyFill="1"/>
    <xf numFmtId="166" fontId="5" fillId="0" borderId="0" xfId="0" applyNumberFormat="1" applyFont="1"/>
    <xf numFmtId="166" fontId="2" fillId="0" borderId="0" xfId="0" applyNumberFormat="1" applyFont="1"/>
    <xf numFmtId="166" fontId="0" fillId="0" borderId="0" xfId="0" applyNumberFormat="1"/>
    <xf numFmtId="0" fontId="3" fillId="0" borderId="0" xfId="0" applyFont="1"/>
    <xf numFmtId="166" fontId="3" fillId="0" borderId="0" xfId="0" applyNumberFormat="1" applyFont="1"/>
    <xf numFmtId="3" fontId="5" fillId="0" borderId="0" xfId="0" applyNumberFormat="1" applyFont="1"/>
    <xf numFmtId="167" fontId="5" fillId="0" borderId="0" xfId="0" applyNumberFormat="1" applyFont="1"/>
    <xf numFmtId="168" fontId="2" fillId="0" borderId="0" xfId="0" applyNumberFormat="1" applyFont="1"/>
    <xf numFmtId="0" fontId="5" fillId="0" borderId="0" xfId="0" applyFont="1"/>
    <xf numFmtId="169" fontId="3" fillId="0" borderId="0" xfId="0" applyNumberFormat="1" applyFont="1"/>
    <xf numFmtId="166" fontId="5" fillId="2" borderId="0" xfId="0" applyNumberFormat="1" applyFont="1" applyFill="1"/>
    <xf numFmtId="1" fontId="5" fillId="2" borderId="0" xfId="0" applyNumberFormat="1" applyFont="1" applyFill="1"/>
    <xf numFmtId="9" fontId="5" fillId="2" borderId="0" xfId="0" applyNumberFormat="1" applyFont="1" applyFill="1"/>
    <xf numFmtId="169" fontId="2" fillId="0" borderId="0" xfId="0" applyNumberFormat="1" applyFont="1"/>
    <xf numFmtId="165" fontId="8" fillId="0" borderId="0" xfId="0" applyNumberFormat="1" applyFont="1"/>
    <xf numFmtId="3" fontId="2" fillId="0" borderId="0" xfId="0" applyNumberFormat="1" applyFont="1"/>
    <xf numFmtId="1" fontId="3" fillId="0" borderId="0" xfId="0" applyNumberFormat="1" applyFont="1"/>
    <xf numFmtId="3" fontId="3" fillId="0" borderId="0" xfId="0" applyNumberFormat="1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A36"/>
  </sheetPr>
  <dimension ref="A1:A26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3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2</v>
      </c>
    </row>
    <row r="10" spans="1:1" x14ac:dyDescent="0.25">
      <c r="A10" s="3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2</v>
      </c>
    </row>
    <row r="20" spans="1:1" x14ac:dyDescent="0.25">
      <c r="A20" s="3" t="s">
        <v>17</v>
      </c>
    </row>
    <row r="21" spans="1:1" x14ac:dyDescent="0.25">
      <c r="A21" s="2" t="s">
        <v>18</v>
      </c>
    </row>
    <row r="22" spans="1:1" x14ac:dyDescent="0.25">
      <c r="A22" s="2" t="s">
        <v>19</v>
      </c>
    </row>
    <row r="23" spans="1:1" x14ac:dyDescent="0.25">
      <c r="A23" s="2" t="s">
        <v>20</v>
      </c>
    </row>
    <row r="24" spans="1:1" x14ac:dyDescent="0.25">
      <c r="A24" s="2" t="s">
        <v>21</v>
      </c>
    </row>
    <row r="25" spans="1:1" x14ac:dyDescent="0.25">
      <c r="A25" s="2" t="s">
        <v>22</v>
      </c>
    </row>
    <row r="26" spans="1:1" x14ac:dyDescent="0.25">
      <c r="A26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6"/>
  <sheetViews>
    <sheetView workbookViewId="0">
      <pane xSplit="4" ySplit="5" topLeftCell="E6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58" customWidth="1"/>
    <col min="4" max="4" width="6" customWidth="1"/>
    <col min="5" max="10" width="13" customWidth="1"/>
    <col min="11" max="12" width="10" customWidth="1"/>
    <col min="13" max="13" width="7" customWidth="1"/>
    <col min="14" max="15" width="13" customWidth="1"/>
    <col min="16" max="16" width="11" customWidth="1"/>
    <col min="17" max="17" width="48" customWidth="1"/>
    <col min="18" max="18" width="13" customWidth="1"/>
    <col min="19" max="19" width="12" customWidth="1"/>
    <col min="20" max="20" width="15" customWidth="1"/>
  </cols>
  <sheetData>
    <row r="1" spans="1:1" x14ac:dyDescent="0.25">
      <c r="A1" s="4" t="s">
        <v>24</v>
      </c>
    </row>
    <row r="3" spans="1:5" x14ac:dyDescent="0.25">
      <c r="A3" s="5" t="s">
        <v>25</v>
      </c>
      <c r="B3" s="6">
        <v>0.08</v>
      </c>
      <c r="C3" s="5" t="s">
        <v>26</v>
      </c>
      <c r="D3" s="5" t="s">
        <v>27</v>
      </c>
      <c r="E3" s="6">
        <v>0.25</v>
      </c>
    </row>
    <row r="5" ht="32" customHeight="1" spans="1:20" x14ac:dyDescent="0.25">
      <c r="A5" s="7" t="s">
        <v>28</v>
      </c>
      <c r="B5" s="7" t="s">
        <v>29</v>
      </c>
      <c r="C5" s="7" t="s">
        <v>30</v>
      </c>
      <c r="D5" s="7" t="s">
        <v>31</v>
      </c>
      <c r="E5" s="7" t="s">
        <v>32</v>
      </c>
      <c r="F5" s="7" t="s">
        <v>33</v>
      </c>
      <c r="G5" s="7" t="s">
        <v>34</v>
      </c>
      <c r="H5" s="7" t="s">
        <v>35</v>
      </c>
      <c r="I5" s="7" t="s">
        <v>36</v>
      </c>
      <c r="J5" s="7" t="s">
        <v>37</v>
      </c>
      <c r="K5" s="7" t="s">
        <v>38</v>
      </c>
      <c r="L5" s="7" t="s">
        <v>39</v>
      </c>
      <c r="M5" s="7" t="s">
        <v>40</v>
      </c>
      <c r="N5" s="7" t="s">
        <v>41</v>
      </c>
      <c r="O5" s="7" t="s">
        <v>42</v>
      </c>
      <c r="P5" s="7" t="s">
        <v>43</v>
      </c>
      <c r="Q5" s="7" t="s">
        <v>44</v>
      </c>
      <c r="R5" s="7" t="s">
        <v>45</v>
      </c>
      <c r="S5" s="7" t="s">
        <v>46</v>
      </c>
      <c r="T5" s="7" t="s">
        <v>47</v>
      </c>
    </row>
    <row r="6" spans="1:20" x14ac:dyDescent="0.25">
      <c r="A6" s="5" t="s">
        <v>48</v>
      </c>
      <c r="B6" s="5" t="s">
        <v>49</v>
      </c>
      <c r="C6" s="5" t="s">
        <v>50</v>
      </c>
      <c r="D6" s="5" t="s">
        <v>2</v>
      </c>
      <c r="E6" s="8"/>
      <c r="F6" s="8"/>
      <c r="G6" s="8"/>
      <c r="H6" s="9">
        <v>2.8</v>
      </c>
      <c r="I6" s="8"/>
      <c r="J6" s="8"/>
      <c r="K6" s="10">
        <f>IF(COUNT(E6:J6)=0,"",MIN(E6:J6))</f>
      </c>
      <c r="L6" s="10">
        <f>IF(COUNT(E6:J6)=0,"",MAX(E6:J6))</f>
      </c>
      <c r="M6" s="5">
        <f>COUNT(E6:J6)</f>
      </c>
      <c r="N6" s="11">
        <f>IF(COUNT(E6:J6)=0,"",MEDIAN(E6:J6))</f>
      </c>
      <c r="O6" s="8"/>
      <c r="P6" s="12">
        <f>IF(OR(O6="",N6=""),"",1-O6/N6)</f>
      </c>
      <c r="Q6" s="5" t="s">
        <v>2</v>
      </c>
      <c r="R6" s="13"/>
      <c r="S6" s="6"/>
      <c r="T6" s="11">
        <f>IF(R6&lt;&gt;"",R6/(1-IF(S6&lt;&gt;"",S6,$E$3)),IF(N6="","",N6*(1+$B$3)))</f>
      </c>
    </row>
    <row r="7" spans="1:20" x14ac:dyDescent="0.25">
      <c r="A7" s="5" t="s">
        <v>48</v>
      </c>
      <c r="B7" s="5" t="s">
        <v>51</v>
      </c>
      <c r="C7" s="5" t="s">
        <v>52</v>
      </c>
      <c r="D7" s="5" t="s">
        <v>53</v>
      </c>
      <c r="E7" s="8"/>
      <c r="F7" s="8"/>
      <c r="G7" s="8"/>
      <c r="H7" s="9">
        <v>2.8</v>
      </c>
      <c r="I7" s="8"/>
      <c r="J7" s="8"/>
      <c r="K7" s="10">
        <f>IF(COUNT(E7:J7)=0,"",MIN(E7:J7))</f>
      </c>
      <c r="L7" s="10">
        <f>IF(COUNT(E7:J7)=0,"",MAX(E7:J7))</f>
      </c>
      <c r="M7" s="5">
        <f>COUNT(E7:J7)</f>
      </c>
      <c r="N7" s="11">
        <f>IF(COUNT(E7:J7)=0,"",MEDIAN(E7:J7))</f>
      </c>
      <c r="O7" s="8"/>
      <c r="P7" s="12">
        <f>IF(OR(O7="",N7=""),"",1-O7/N7)</f>
      </c>
      <c r="Q7" s="5" t="s">
        <v>2</v>
      </c>
      <c r="R7" s="13"/>
      <c r="S7" s="6"/>
      <c r="T7" s="11">
        <f>IF(R7&lt;&gt;"",R7/(1-IF(S7&lt;&gt;"",S7,$E$3)),IF(N7="","",N7*(1+$B$3)))</f>
      </c>
    </row>
    <row r="8" spans="1:20" x14ac:dyDescent="0.25">
      <c r="A8" s="5" t="s">
        <v>48</v>
      </c>
      <c r="B8" s="5" t="s">
        <v>54</v>
      </c>
      <c r="C8" s="5" t="s">
        <v>55</v>
      </c>
      <c r="D8" s="5" t="s">
        <v>2</v>
      </c>
      <c r="E8" s="8"/>
      <c r="F8" s="8"/>
      <c r="G8" s="8"/>
      <c r="H8" s="8"/>
      <c r="I8" s="9">
        <v>200</v>
      </c>
      <c r="J8" s="8"/>
      <c r="K8" s="10">
        <f>IF(COUNT(E8:J8)=0,"",MIN(E8:J8))</f>
      </c>
      <c r="L8" s="10">
        <f>IF(COUNT(E8:J8)=0,"",MAX(E8:J8))</f>
      </c>
      <c r="M8" s="5">
        <f>COUNT(E8:J8)</f>
      </c>
      <c r="N8" s="11">
        <f>IF(COUNT(E8:J8)=0,"",MEDIAN(E8:J8))</f>
      </c>
      <c r="O8" s="8"/>
      <c r="P8" s="12">
        <f>IF(OR(O8="",N8=""),"",1-O8/N8)</f>
      </c>
      <c r="Q8" s="5" t="s">
        <v>2</v>
      </c>
      <c r="R8" s="13"/>
      <c r="S8" s="6"/>
      <c r="T8" s="11">
        <f>IF(R8&lt;&gt;"",R8/(1-IF(S8&lt;&gt;"",S8,$E$3)),IF(N8="","",N8*(1+$B$3)))</f>
      </c>
    </row>
    <row r="9" spans="1:20" x14ac:dyDescent="0.25">
      <c r="A9" s="5" t="s">
        <v>48</v>
      </c>
      <c r="B9" s="5" t="s">
        <v>56</v>
      </c>
      <c r="C9" s="5" t="s">
        <v>57</v>
      </c>
      <c r="D9" s="5" t="s">
        <v>31</v>
      </c>
      <c r="E9" s="8"/>
      <c r="F9" s="8"/>
      <c r="G9" s="8"/>
      <c r="H9" s="9">
        <v>32.7</v>
      </c>
      <c r="I9" s="8"/>
      <c r="J9" s="8"/>
      <c r="K9" s="10">
        <f>IF(COUNT(E9:J9)=0,"",MIN(E9:J9))</f>
      </c>
      <c r="L9" s="10">
        <f>IF(COUNT(E9:J9)=0,"",MAX(E9:J9))</f>
      </c>
      <c r="M9" s="5">
        <f>COUNT(E9:J9)</f>
      </c>
      <c r="N9" s="11">
        <f>IF(COUNT(E9:J9)=0,"",MEDIAN(E9:J9))</f>
      </c>
      <c r="O9" s="8"/>
      <c r="P9" s="12">
        <f>IF(OR(O9="",N9=""),"",1-O9/N9)</f>
      </c>
      <c r="Q9" s="5" t="s">
        <v>2</v>
      </c>
      <c r="R9" s="13"/>
      <c r="S9" s="6"/>
      <c r="T9" s="11">
        <f>IF(R9&lt;&gt;"",R9/(1-IF(S9&lt;&gt;"",S9,$E$3)),IF(N9="","",N9*(1+$B$3)))</f>
      </c>
    </row>
    <row r="10" spans="1:20" x14ac:dyDescent="0.25">
      <c r="A10" s="5" t="s">
        <v>48</v>
      </c>
      <c r="B10" s="5" t="s">
        <v>58</v>
      </c>
      <c r="C10" s="5" t="s">
        <v>59</v>
      </c>
      <c r="D10" s="5" t="s">
        <v>53</v>
      </c>
      <c r="E10" s="8"/>
      <c r="F10" s="8"/>
      <c r="G10" s="9">
        <v>2.8</v>
      </c>
      <c r="H10" s="8"/>
      <c r="I10" s="8"/>
      <c r="J10" s="9">
        <v>2.8</v>
      </c>
      <c r="K10" s="10">
        <f>IF(COUNT(E10:J10)=0,"",MIN(E10:J10))</f>
      </c>
      <c r="L10" s="10">
        <f>IF(COUNT(E10:J10)=0,"",MAX(E10:J10))</f>
      </c>
      <c r="M10" s="5">
        <f>COUNT(E10:J10)</f>
      </c>
      <c r="N10" s="11">
        <f>IF(COUNT(E10:J10)=0,"",MEDIAN(E10:J10))</f>
      </c>
      <c r="O10" s="9">
        <v>0.8</v>
      </c>
      <c r="P10" s="12">
        <f>IF(OR(O10="",N10=""),"",1-O10/N10)</f>
      </c>
      <c r="Q10" s="5" t="s">
        <v>60</v>
      </c>
      <c r="R10" s="13"/>
      <c r="S10" s="6"/>
      <c r="T10" s="11">
        <f>IF(R10&lt;&gt;"",R10/(1-IF(S10&lt;&gt;"",S10,$E$3)),IF(N10="","",N10*(1+$B$3)))</f>
      </c>
    </row>
    <row r="11" spans="1:20" x14ac:dyDescent="0.25">
      <c r="A11" s="5" t="s">
        <v>48</v>
      </c>
      <c r="B11" s="5" t="s">
        <v>61</v>
      </c>
      <c r="C11" s="5" t="s">
        <v>62</v>
      </c>
      <c r="D11" s="5" t="s">
        <v>53</v>
      </c>
      <c r="E11" s="9">
        <v>2.8</v>
      </c>
      <c r="F11" s="9">
        <v>2.8</v>
      </c>
      <c r="G11" s="9">
        <v>2.8</v>
      </c>
      <c r="H11" s="9">
        <v>2.8</v>
      </c>
      <c r="I11" s="9">
        <v>2.8</v>
      </c>
      <c r="J11" s="8"/>
      <c r="K11" s="10">
        <f>IF(COUNT(E11:J11)=0,"",MIN(E11:J11))</f>
      </c>
      <c r="L11" s="10">
        <f>IF(COUNT(E11:J11)=0,"",MAX(E11:J11))</f>
      </c>
      <c r="M11" s="5">
        <f>COUNT(E11:J11)</f>
      </c>
      <c r="N11" s="11">
        <f>IF(COUNT(E11:J11)=0,"",MEDIAN(E11:J11))</f>
      </c>
      <c r="O11" s="9">
        <v>0.8</v>
      </c>
      <c r="P11" s="12">
        <f>IF(OR(O11="",N11=""),"",1-O11/N11)</f>
      </c>
      <c r="Q11" s="5" t="s">
        <v>60</v>
      </c>
      <c r="R11" s="13"/>
      <c r="S11" s="6"/>
      <c r="T11" s="11">
        <f>IF(R11&lt;&gt;"",R11/(1-IF(S11&lt;&gt;"",S11,$E$3)),IF(N11="","",N11*(1+$B$3)))</f>
      </c>
    </row>
    <row r="12" spans="1:20" x14ac:dyDescent="0.25">
      <c r="A12" s="5" t="s">
        <v>48</v>
      </c>
      <c r="B12" s="5" t="s">
        <v>61</v>
      </c>
      <c r="C12" s="5" t="s">
        <v>63</v>
      </c>
      <c r="D12" s="5" t="s">
        <v>53</v>
      </c>
      <c r="E12" s="8"/>
      <c r="F12" s="8"/>
      <c r="G12" s="8"/>
      <c r="H12" s="8"/>
      <c r="I12" s="8"/>
      <c r="J12" s="9">
        <v>2.8</v>
      </c>
      <c r="K12" s="10">
        <f>IF(COUNT(E12:J12)=0,"",MIN(E12:J12))</f>
      </c>
      <c r="L12" s="10">
        <f>IF(COUNT(E12:J12)=0,"",MAX(E12:J12))</f>
      </c>
      <c r="M12" s="5">
        <f>COUNT(E12:J12)</f>
      </c>
      <c r="N12" s="11">
        <f>IF(COUNT(E12:J12)=0,"",MEDIAN(E12:J12))</f>
      </c>
      <c r="O12" s="9">
        <v>0.8</v>
      </c>
      <c r="P12" s="12">
        <f>IF(OR(O12="",N12=""),"",1-O12/N12)</f>
      </c>
      <c r="Q12" s="5" t="s">
        <v>60</v>
      </c>
      <c r="R12" s="13"/>
      <c r="S12" s="6"/>
      <c r="T12" s="11">
        <f>IF(R12&lt;&gt;"",R12/(1-IF(S12&lt;&gt;"",S12,$E$3)),IF(N12="","",N12*(1+$B$3)))</f>
      </c>
    </row>
    <row r="13" spans="1:20" x14ac:dyDescent="0.25">
      <c r="A13" s="5" t="s">
        <v>48</v>
      </c>
      <c r="B13" s="5" t="s">
        <v>64</v>
      </c>
      <c r="C13" s="5" t="s">
        <v>50</v>
      </c>
      <c r="D13" s="5" t="s">
        <v>53</v>
      </c>
      <c r="E13" s="9">
        <v>2.8</v>
      </c>
      <c r="F13" s="8"/>
      <c r="G13" s="8"/>
      <c r="H13" s="8"/>
      <c r="I13" s="9">
        <v>2.8</v>
      </c>
      <c r="J13" s="8"/>
      <c r="K13" s="10">
        <f>IF(COUNT(E13:J13)=0,"",MIN(E13:J13))</f>
      </c>
      <c r="L13" s="10">
        <f>IF(COUNT(E13:J13)=0,"",MAX(E13:J13))</f>
      </c>
      <c r="M13" s="5">
        <f>COUNT(E13:J13)</f>
      </c>
      <c r="N13" s="11">
        <f>IF(COUNT(E13:J13)=0,"",MEDIAN(E13:J13))</f>
      </c>
      <c r="O13" s="9">
        <v>0.8</v>
      </c>
      <c r="P13" s="12">
        <f>IF(OR(O13="",N13=""),"",1-O13/N13)</f>
      </c>
      <c r="Q13" s="5" t="s">
        <v>60</v>
      </c>
      <c r="R13" s="13"/>
      <c r="S13" s="6"/>
      <c r="T13" s="11">
        <f>IF(R13&lt;&gt;"",R13/(1-IF(S13&lt;&gt;"",S13,$E$3)),IF(N13="","",N13*(1+$B$3)))</f>
      </c>
    </row>
    <row r="14" spans="1:20" x14ac:dyDescent="0.25">
      <c r="A14" s="5" t="s">
        <v>48</v>
      </c>
      <c r="B14" s="5" t="s">
        <v>64</v>
      </c>
      <c r="C14" s="5" t="s">
        <v>65</v>
      </c>
      <c r="D14" s="5" t="s">
        <v>53</v>
      </c>
      <c r="E14" s="8"/>
      <c r="F14" s="8"/>
      <c r="G14" s="8"/>
      <c r="H14" s="9">
        <v>2.8</v>
      </c>
      <c r="I14" s="8"/>
      <c r="J14" s="8"/>
      <c r="K14" s="10">
        <f>IF(COUNT(E14:J14)=0,"",MIN(E14:J14))</f>
      </c>
      <c r="L14" s="10">
        <f>IF(COUNT(E14:J14)=0,"",MAX(E14:J14))</f>
      </c>
      <c r="M14" s="5">
        <f>COUNT(E14:J14)</f>
      </c>
      <c r="N14" s="11">
        <f>IF(COUNT(E14:J14)=0,"",MEDIAN(E14:J14))</f>
      </c>
      <c r="O14" s="9">
        <v>0.8</v>
      </c>
      <c r="P14" s="12">
        <f>IF(OR(O14="",N14=""),"",1-O14/N14)</f>
      </c>
      <c r="Q14" s="5" t="s">
        <v>60</v>
      </c>
      <c r="R14" s="13"/>
      <c r="S14" s="6"/>
      <c r="T14" s="11">
        <f>IF(R14&lt;&gt;"",R14/(1-IF(S14&lt;&gt;"",S14,$E$3)),IF(N14="","",N14*(1+$B$3)))</f>
      </c>
    </row>
    <row r="15" spans="1:20" x14ac:dyDescent="0.25">
      <c r="A15" s="5" t="s">
        <v>48</v>
      </c>
      <c r="B15" s="5" t="s">
        <v>64</v>
      </c>
      <c r="C15" s="5" t="s">
        <v>66</v>
      </c>
      <c r="D15" s="5" t="s">
        <v>53</v>
      </c>
      <c r="E15" s="8"/>
      <c r="F15" s="8"/>
      <c r="G15" s="8"/>
      <c r="H15" s="8"/>
      <c r="I15" s="8"/>
      <c r="J15" s="9">
        <v>2.8</v>
      </c>
      <c r="K15" s="10">
        <f>IF(COUNT(E15:J15)=0,"",MIN(E15:J15))</f>
      </c>
      <c r="L15" s="10">
        <f>IF(COUNT(E15:J15)=0,"",MAX(E15:J15))</f>
      </c>
      <c r="M15" s="5">
        <f>COUNT(E15:J15)</f>
      </c>
      <c r="N15" s="11">
        <f>IF(COUNT(E15:J15)=0,"",MEDIAN(E15:J15))</f>
      </c>
      <c r="O15" s="9">
        <v>0.8</v>
      </c>
      <c r="P15" s="12">
        <f>IF(OR(O15="",N15=""),"",1-O15/N15)</f>
      </c>
      <c r="Q15" s="5" t="s">
        <v>60</v>
      </c>
      <c r="R15" s="13"/>
      <c r="S15" s="6"/>
      <c r="T15" s="11">
        <f>IF(R15&lt;&gt;"",R15/(1-IF(S15&lt;&gt;"",S15,$E$3)),IF(N15="","",N15*(1+$B$3)))</f>
      </c>
    </row>
    <row r="16" spans="1:20" x14ac:dyDescent="0.25">
      <c r="A16" s="5" t="s">
        <v>48</v>
      </c>
      <c r="B16" s="5" t="s">
        <v>67</v>
      </c>
      <c r="C16" s="5" t="s">
        <v>68</v>
      </c>
      <c r="D16" s="5" t="s">
        <v>53</v>
      </c>
      <c r="E16" s="9">
        <v>2.8</v>
      </c>
      <c r="F16" s="8"/>
      <c r="G16" s="8"/>
      <c r="H16" s="8"/>
      <c r="I16" s="8"/>
      <c r="J16" s="8"/>
      <c r="K16" s="10">
        <f>IF(COUNT(E16:J16)=0,"",MIN(E16:J16))</f>
      </c>
      <c r="L16" s="10">
        <f>IF(COUNT(E16:J16)=0,"",MAX(E16:J16))</f>
      </c>
      <c r="M16" s="5">
        <f>COUNT(E16:J16)</f>
      </c>
      <c r="N16" s="11">
        <f>IF(COUNT(E16:J16)=0,"",MEDIAN(E16:J16))</f>
      </c>
      <c r="O16" s="9">
        <v>0.8</v>
      </c>
      <c r="P16" s="12">
        <f>IF(OR(O16="",N16=""),"",1-O16/N16)</f>
      </c>
      <c r="Q16" s="5" t="s">
        <v>60</v>
      </c>
      <c r="R16" s="13"/>
      <c r="S16" s="6"/>
      <c r="T16" s="11">
        <f>IF(R16&lt;&gt;"",R16/(1-IF(S16&lt;&gt;"",S16,$E$3)),IF(N16="","",N16*(1+$B$3)))</f>
      </c>
    </row>
    <row r="17" spans="1:20" x14ac:dyDescent="0.25">
      <c r="A17" s="5" t="s">
        <v>48</v>
      </c>
      <c r="B17" s="5" t="s">
        <v>69</v>
      </c>
      <c r="C17" s="5" t="s">
        <v>59</v>
      </c>
      <c r="D17" s="5" t="s">
        <v>53</v>
      </c>
      <c r="E17" s="8"/>
      <c r="F17" s="8"/>
      <c r="G17" s="9">
        <v>2.8</v>
      </c>
      <c r="H17" s="9">
        <v>2.8</v>
      </c>
      <c r="I17" s="8"/>
      <c r="J17" s="8"/>
      <c r="K17" s="10">
        <f>IF(COUNT(E17:J17)=0,"",MIN(E17:J17))</f>
      </c>
      <c r="L17" s="10">
        <f>IF(COUNT(E17:J17)=0,"",MAX(E17:J17))</f>
      </c>
      <c r="M17" s="5">
        <f>COUNT(E17:J17)</f>
      </c>
      <c r="N17" s="11">
        <f>IF(COUNT(E17:J17)=0,"",MEDIAN(E17:J17))</f>
      </c>
      <c r="O17" s="9">
        <v>0.8</v>
      </c>
      <c r="P17" s="12">
        <f>IF(OR(O17="",N17=""),"",1-O17/N17)</f>
      </c>
      <c r="Q17" s="5" t="s">
        <v>60</v>
      </c>
      <c r="R17" s="13"/>
      <c r="S17" s="6"/>
      <c r="T17" s="11">
        <f>IF(R17&lt;&gt;"",R17/(1-IF(S17&lt;&gt;"",S17,$E$3)),IF(N17="","",N17*(1+$B$3)))</f>
      </c>
    </row>
    <row r="18" spans="1:20" x14ac:dyDescent="0.25">
      <c r="A18" s="5" t="s">
        <v>48</v>
      </c>
      <c r="B18" s="5" t="s">
        <v>70</v>
      </c>
      <c r="C18" s="5" t="s">
        <v>71</v>
      </c>
      <c r="D18" s="5" t="s">
        <v>53</v>
      </c>
      <c r="E18" s="8"/>
      <c r="F18" s="9">
        <v>2.8</v>
      </c>
      <c r="G18" s="8"/>
      <c r="H18" s="8"/>
      <c r="I18" s="9">
        <v>2.8</v>
      </c>
      <c r="J18" s="8"/>
      <c r="K18" s="10">
        <f>IF(COUNT(E18:J18)=0,"",MIN(E18:J18))</f>
      </c>
      <c r="L18" s="10">
        <f>IF(COUNT(E18:J18)=0,"",MAX(E18:J18))</f>
      </c>
      <c r="M18" s="5">
        <f>COUNT(E18:J18)</f>
      </c>
      <c r="N18" s="11">
        <f>IF(COUNT(E18:J18)=0,"",MEDIAN(E18:J18))</f>
      </c>
      <c r="O18" s="9">
        <v>0.8</v>
      </c>
      <c r="P18" s="12">
        <f>IF(OR(O18="",N18=""),"",1-O18/N18)</f>
      </c>
      <c r="Q18" s="5" t="s">
        <v>60</v>
      </c>
      <c r="R18" s="13"/>
      <c r="S18" s="6"/>
      <c r="T18" s="11">
        <f>IF(R18&lt;&gt;"",R18/(1-IF(S18&lt;&gt;"",S18,$E$3)),IF(N18="","",N18*(1+$B$3)))</f>
      </c>
    </row>
    <row r="19" spans="1:20" x14ac:dyDescent="0.25">
      <c r="A19" s="5" t="s">
        <v>48</v>
      </c>
      <c r="B19" s="5" t="s">
        <v>72</v>
      </c>
      <c r="C19" s="5" t="s">
        <v>73</v>
      </c>
      <c r="D19" s="5" t="s">
        <v>53</v>
      </c>
      <c r="E19" s="9">
        <v>2.8</v>
      </c>
      <c r="F19" s="8"/>
      <c r="G19" s="8"/>
      <c r="H19" s="8"/>
      <c r="I19" s="8"/>
      <c r="J19" s="8"/>
      <c r="K19" s="10">
        <f>IF(COUNT(E19:J19)=0,"",MIN(E19:J19))</f>
      </c>
      <c r="L19" s="10">
        <f>IF(COUNT(E19:J19)=0,"",MAX(E19:J19))</f>
      </c>
      <c r="M19" s="5">
        <f>COUNT(E19:J19)</f>
      </c>
      <c r="N19" s="11">
        <f>IF(COUNT(E19:J19)=0,"",MEDIAN(E19:J19))</f>
      </c>
      <c r="O19" s="9">
        <v>0.8</v>
      </c>
      <c r="P19" s="12">
        <f>IF(OR(O19="",N19=""),"",1-O19/N19)</f>
      </c>
      <c r="Q19" s="5" t="s">
        <v>60</v>
      </c>
      <c r="R19" s="13"/>
      <c r="S19" s="6"/>
      <c r="T19" s="11">
        <f>IF(R19&lt;&gt;"",R19/(1-IF(S19&lt;&gt;"",S19,$E$3)),IF(N19="","",N19*(1+$B$3)))</f>
      </c>
    </row>
    <row r="20" spans="1:20" x14ac:dyDescent="0.25">
      <c r="A20" s="5" t="s">
        <v>48</v>
      </c>
      <c r="B20" s="5" t="s">
        <v>74</v>
      </c>
      <c r="C20" s="5" t="s">
        <v>75</v>
      </c>
      <c r="D20" s="5" t="s">
        <v>53</v>
      </c>
      <c r="E20" s="9">
        <v>2.8</v>
      </c>
      <c r="F20" s="8"/>
      <c r="G20" s="8"/>
      <c r="H20" s="8"/>
      <c r="I20" s="8"/>
      <c r="J20" s="8"/>
      <c r="K20" s="10">
        <f>IF(COUNT(E20:J20)=0,"",MIN(E20:J20))</f>
      </c>
      <c r="L20" s="10">
        <f>IF(COUNT(E20:J20)=0,"",MAX(E20:J20))</f>
      </c>
      <c r="M20" s="5">
        <f>COUNT(E20:J20)</f>
      </c>
      <c r="N20" s="11">
        <f>IF(COUNT(E20:J20)=0,"",MEDIAN(E20:J20))</f>
      </c>
      <c r="O20" s="9">
        <v>0.8</v>
      </c>
      <c r="P20" s="12">
        <f>IF(OR(O20="",N20=""),"",1-O20/N20)</f>
      </c>
      <c r="Q20" s="5" t="s">
        <v>60</v>
      </c>
      <c r="R20" s="13"/>
      <c r="S20" s="6"/>
      <c r="T20" s="11">
        <f>IF(R20&lt;&gt;"",R20/(1-IF(S20&lt;&gt;"",S20,$E$3)),IF(N20="","",N20*(1+$B$3)))</f>
      </c>
    </row>
    <row r="21" spans="1:20" x14ac:dyDescent="0.25">
      <c r="A21" s="5" t="s">
        <v>48</v>
      </c>
      <c r="B21" s="5" t="s">
        <v>76</v>
      </c>
      <c r="C21" s="5" t="s">
        <v>77</v>
      </c>
      <c r="D21" s="5" t="s">
        <v>53</v>
      </c>
      <c r="E21" s="8"/>
      <c r="F21" s="9">
        <v>2.8</v>
      </c>
      <c r="G21" s="8"/>
      <c r="H21" s="8"/>
      <c r="I21" s="8"/>
      <c r="J21" s="8"/>
      <c r="K21" s="10">
        <f>IF(COUNT(E21:J21)=0,"",MIN(E21:J21))</f>
      </c>
      <c r="L21" s="10">
        <f>IF(COUNT(E21:J21)=0,"",MAX(E21:J21))</f>
      </c>
      <c r="M21" s="5">
        <f>COUNT(E21:J21)</f>
      </c>
      <c r="N21" s="11">
        <f>IF(COUNT(E21:J21)=0,"",MEDIAN(E21:J21))</f>
      </c>
      <c r="O21" s="9">
        <v>0.8</v>
      </c>
      <c r="P21" s="12">
        <f>IF(OR(O21="",N21=""),"",1-O21/N21)</f>
      </c>
      <c r="Q21" s="5" t="s">
        <v>60</v>
      </c>
      <c r="R21" s="13"/>
      <c r="S21" s="6"/>
      <c r="T21" s="11">
        <f>IF(R21&lt;&gt;"",R21/(1-IF(S21&lt;&gt;"",S21,$E$3)),IF(N21="","",N21*(1+$B$3)))</f>
      </c>
    </row>
    <row r="22" spans="1:20" x14ac:dyDescent="0.25">
      <c r="A22" s="5" t="s">
        <v>48</v>
      </c>
      <c r="B22" s="5" t="s">
        <v>78</v>
      </c>
      <c r="C22" s="5" t="s">
        <v>77</v>
      </c>
      <c r="D22" s="5" t="s">
        <v>53</v>
      </c>
      <c r="E22" s="9">
        <v>2.8</v>
      </c>
      <c r="F22" s="8"/>
      <c r="G22" s="8"/>
      <c r="H22" s="8"/>
      <c r="I22" s="8"/>
      <c r="J22" s="8"/>
      <c r="K22" s="10">
        <f>IF(COUNT(E22:J22)=0,"",MIN(E22:J22))</f>
      </c>
      <c r="L22" s="10">
        <f>IF(COUNT(E22:J22)=0,"",MAX(E22:J22))</f>
      </c>
      <c r="M22" s="5">
        <f>COUNT(E22:J22)</f>
      </c>
      <c r="N22" s="11">
        <f>IF(COUNT(E22:J22)=0,"",MEDIAN(E22:J22))</f>
      </c>
      <c r="O22" s="9">
        <v>0.8</v>
      </c>
      <c r="P22" s="12">
        <f>IF(OR(O22="",N22=""),"",1-O22/N22)</f>
      </c>
      <c r="Q22" s="5" t="s">
        <v>60</v>
      </c>
      <c r="R22" s="13"/>
      <c r="S22" s="6"/>
      <c r="T22" s="11">
        <f>IF(R22&lt;&gt;"",R22/(1-IF(S22&lt;&gt;"",S22,$E$3)),IF(N22="","",N22*(1+$B$3)))</f>
      </c>
    </row>
    <row r="23" spans="1:20" x14ac:dyDescent="0.25">
      <c r="A23" s="5" t="s">
        <v>48</v>
      </c>
      <c r="B23" s="5" t="s">
        <v>79</v>
      </c>
      <c r="C23" s="5" t="s">
        <v>80</v>
      </c>
      <c r="D23" s="5" t="s">
        <v>53</v>
      </c>
      <c r="E23" s="9">
        <v>2.8</v>
      </c>
      <c r="F23" s="9">
        <v>2.8</v>
      </c>
      <c r="G23" s="8"/>
      <c r="H23" s="9">
        <v>2.8</v>
      </c>
      <c r="I23" s="8"/>
      <c r="J23" s="9">
        <v>2.8</v>
      </c>
      <c r="K23" s="10">
        <f>IF(COUNT(E23:J23)=0,"",MIN(E23:J23))</f>
      </c>
      <c r="L23" s="10">
        <f>IF(COUNT(E23:J23)=0,"",MAX(E23:J23))</f>
      </c>
      <c r="M23" s="5">
        <f>COUNT(E23:J23)</f>
      </c>
      <c r="N23" s="11">
        <f>IF(COUNT(E23:J23)=0,"",MEDIAN(E23:J23))</f>
      </c>
      <c r="O23" s="9">
        <v>0.8</v>
      </c>
      <c r="P23" s="12">
        <f>IF(OR(O23="",N23=""),"",1-O23/N23)</f>
      </c>
      <c r="Q23" s="5" t="s">
        <v>60</v>
      </c>
      <c r="R23" s="13"/>
      <c r="S23" s="6"/>
      <c r="T23" s="11">
        <f>IF(R23&lt;&gt;"",R23/(1-IF(S23&lt;&gt;"",S23,$E$3)),IF(N23="","",N23*(1+$B$3)))</f>
      </c>
    </row>
    <row r="24" spans="1:20" x14ac:dyDescent="0.25">
      <c r="A24" s="5" t="s">
        <v>48</v>
      </c>
      <c r="B24" s="5" t="s">
        <v>81</v>
      </c>
      <c r="C24" s="5" t="s">
        <v>82</v>
      </c>
      <c r="D24" s="5" t="s">
        <v>53</v>
      </c>
      <c r="E24" s="8"/>
      <c r="F24" s="8"/>
      <c r="G24" s="8"/>
      <c r="H24" s="8"/>
      <c r="I24" s="9">
        <v>2.8</v>
      </c>
      <c r="J24" s="8"/>
      <c r="K24" s="10">
        <f>IF(COUNT(E24:J24)=0,"",MIN(E24:J24))</f>
      </c>
      <c r="L24" s="10">
        <f>IF(COUNT(E24:J24)=0,"",MAX(E24:J24))</f>
      </c>
      <c r="M24" s="5">
        <f>COUNT(E24:J24)</f>
      </c>
      <c r="N24" s="11">
        <f>IF(COUNT(E24:J24)=0,"",MEDIAN(E24:J24))</f>
      </c>
      <c r="O24" s="9">
        <v>0.8</v>
      </c>
      <c r="P24" s="12">
        <f>IF(OR(O24="",N24=""),"",1-O24/N24)</f>
      </c>
      <c r="Q24" s="5" t="s">
        <v>60</v>
      </c>
      <c r="R24" s="13"/>
      <c r="S24" s="6"/>
      <c r="T24" s="11">
        <f>IF(R24&lt;&gt;"",R24/(1-IF(S24&lt;&gt;"",S24,$E$3)),IF(N24="","",N24*(1+$B$3)))</f>
      </c>
    </row>
    <row r="25" spans="1:20" x14ac:dyDescent="0.25">
      <c r="A25" s="5" t="s">
        <v>48</v>
      </c>
      <c r="B25" s="5" t="s">
        <v>83</v>
      </c>
      <c r="C25" s="5" t="s">
        <v>84</v>
      </c>
      <c r="D25" s="5" t="s">
        <v>85</v>
      </c>
      <c r="E25" s="9">
        <v>4.48</v>
      </c>
      <c r="F25" s="9">
        <v>4.48</v>
      </c>
      <c r="G25" s="9">
        <v>4.48</v>
      </c>
      <c r="H25" s="9">
        <v>4.8</v>
      </c>
      <c r="I25" s="9">
        <v>4.48</v>
      </c>
      <c r="J25" s="9">
        <v>4.8</v>
      </c>
      <c r="K25" s="10">
        <f>IF(COUNT(E25:J25)=0,"",MIN(E25:J25))</f>
      </c>
      <c r="L25" s="10">
        <f>IF(COUNT(E25:J25)=0,"",MAX(E25:J25))</f>
      </c>
      <c r="M25" s="5">
        <f>COUNT(E25:J25)</f>
      </c>
      <c r="N25" s="11">
        <f>IF(COUNT(E25:J25)=0,"",MEDIAN(E25:J25))</f>
      </c>
      <c r="O25" s="9">
        <v>0.8</v>
      </c>
      <c r="P25" s="12">
        <f>IF(OR(O25="",N25=""),"",1-O25/N25)</f>
      </c>
      <c r="Q25" s="5" t="s">
        <v>60</v>
      </c>
      <c r="R25" s="13"/>
      <c r="S25" s="6"/>
      <c r="T25" s="11">
        <f>IF(R25&lt;&gt;"",R25/(1-IF(S25&lt;&gt;"",S25,$E$3)),IF(N25="","",N25*(1+$B$3)))</f>
      </c>
    </row>
    <row r="26" spans="1:20" x14ac:dyDescent="0.25">
      <c r="A26" s="5" t="s">
        <v>48</v>
      </c>
      <c r="B26" s="5" t="s">
        <v>86</v>
      </c>
      <c r="C26" s="5" t="s">
        <v>87</v>
      </c>
      <c r="D26" s="5" t="s">
        <v>53</v>
      </c>
      <c r="E26" s="8"/>
      <c r="F26" s="8"/>
      <c r="G26" s="9">
        <v>2.8</v>
      </c>
      <c r="H26" s="8"/>
      <c r="I26" s="8"/>
      <c r="J26" s="8"/>
      <c r="K26" s="10">
        <f>IF(COUNT(E26:J26)=0,"",MIN(E26:J26))</f>
      </c>
      <c r="L26" s="10">
        <f>IF(COUNT(E26:J26)=0,"",MAX(E26:J26))</f>
      </c>
      <c r="M26" s="5">
        <f>COUNT(E26:J26)</f>
      </c>
      <c r="N26" s="11">
        <f>IF(COUNT(E26:J26)=0,"",MEDIAN(E26:J26))</f>
      </c>
      <c r="O26" s="9">
        <v>0.8</v>
      </c>
      <c r="P26" s="12">
        <f>IF(OR(O26="",N26=""),"",1-O26/N26)</f>
      </c>
      <c r="Q26" s="5" t="s">
        <v>60</v>
      </c>
      <c r="R26" s="13"/>
      <c r="S26" s="6"/>
      <c r="T26" s="11">
        <f>IF(R26&lt;&gt;"",R26/(1-IF(S26&lt;&gt;"",S26,$E$3)),IF(N26="","",N26*(1+$B$3)))</f>
      </c>
    </row>
    <row r="27" spans="1:20" x14ac:dyDescent="0.25">
      <c r="A27" s="5" t="s">
        <v>48</v>
      </c>
      <c r="B27" s="5" t="s">
        <v>88</v>
      </c>
      <c r="C27" s="5" t="s">
        <v>89</v>
      </c>
      <c r="D27" s="5" t="s">
        <v>53</v>
      </c>
      <c r="E27" s="8"/>
      <c r="F27" s="9">
        <v>2.6</v>
      </c>
      <c r="G27" s="9">
        <v>4.09</v>
      </c>
      <c r="H27" s="9">
        <v>2.6</v>
      </c>
      <c r="I27" s="9">
        <v>2.6</v>
      </c>
      <c r="J27" s="8"/>
      <c r="K27" s="10">
        <f>IF(COUNT(E27:J27)=0,"",MIN(E27:J27))</f>
      </c>
      <c r="L27" s="10">
        <f>IF(COUNT(E27:J27)=0,"",MAX(E27:J27))</f>
      </c>
      <c r="M27" s="5">
        <f>COUNT(E27:J27)</f>
      </c>
      <c r="N27" s="11">
        <f>IF(COUNT(E27:J27)=0,"",MEDIAN(E27:J27))</f>
      </c>
      <c r="O27" s="9">
        <v>0.8</v>
      </c>
      <c r="P27" s="12">
        <f>IF(OR(O27="",N27=""),"",1-O27/N27)</f>
      </c>
      <c r="Q27" s="5" t="s">
        <v>60</v>
      </c>
      <c r="R27" s="13"/>
      <c r="S27" s="6"/>
      <c r="T27" s="11">
        <f>IF(R27&lt;&gt;"",R27/(1-IF(S27&lt;&gt;"",S27,$E$3)),IF(N27="","",N27*(1+$B$3)))</f>
      </c>
    </row>
    <row r="28" spans="1:20" x14ac:dyDescent="0.25">
      <c r="A28" s="5" t="s">
        <v>48</v>
      </c>
      <c r="B28" s="5" t="s">
        <v>90</v>
      </c>
      <c r="C28" s="5" t="s">
        <v>91</v>
      </c>
      <c r="D28" s="5" t="s">
        <v>53</v>
      </c>
      <c r="E28" s="8"/>
      <c r="F28" s="9">
        <v>2.8</v>
      </c>
      <c r="G28" s="9">
        <v>2.8</v>
      </c>
      <c r="H28" s="9">
        <v>2.8</v>
      </c>
      <c r="I28" s="9">
        <v>2.8</v>
      </c>
      <c r="J28" s="9">
        <v>2.8</v>
      </c>
      <c r="K28" s="10">
        <f>IF(COUNT(E28:J28)=0,"",MIN(E28:J28))</f>
      </c>
      <c r="L28" s="10">
        <f>IF(COUNT(E28:J28)=0,"",MAX(E28:J28))</f>
      </c>
      <c r="M28" s="5">
        <f>COUNT(E28:J28)</f>
      </c>
      <c r="N28" s="11">
        <f>IF(COUNT(E28:J28)=0,"",MEDIAN(E28:J28))</f>
      </c>
      <c r="O28" s="9">
        <v>0.8</v>
      </c>
      <c r="P28" s="12">
        <f>IF(OR(O28="",N28=""),"",1-O28/N28)</f>
      </c>
      <c r="Q28" s="5" t="s">
        <v>60</v>
      </c>
      <c r="R28" s="13"/>
      <c r="S28" s="6"/>
      <c r="T28" s="11">
        <f>IF(R28&lt;&gt;"",R28/(1-IF(S28&lt;&gt;"",S28,$E$3)),IF(N28="","",N28*(1+$B$3)))</f>
      </c>
    </row>
    <row r="29" spans="1:20" x14ac:dyDescent="0.25">
      <c r="A29" s="5" t="s">
        <v>48</v>
      </c>
      <c r="B29" s="5" t="s">
        <v>92</v>
      </c>
      <c r="C29" s="5" t="s">
        <v>93</v>
      </c>
      <c r="D29" s="5" t="s">
        <v>53</v>
      </c>
      <c r="E29" s="9">
        <v>2.8</v>
      </c>
      <c r="F29" s="8"/>
      <c r="G29" s="8"/>
      <c r="H29" s="8"/>
      <c r="I29" s="8"/>
      <c r="J29" s="8"/>
      <c r="K29" s="10">
        <f>IF(COUNT(E29:J29)=0,"",MIN(E29:J29))</f>
      </c>
      <c r="L29" s="10">
        <f>IF(COUNT(E29:J29)=0,"",MAX(E29:J29))</f>
      </c>
      <c r="M29" s="5">
        <f>COUNT(E29:J29)</f>
      </c>
      <c r="N29" s="11">
        <f>IF(COUNT(E29:J29)=0,"",MEDIAN(E29:J29))</f>
      </c>
      <c r="O29" s="9">
        <v>0.8</v>
      </c>
      <c r="P29" s="12">
        <f>IF(OR(O29="",N29=""),"",1-O29/N29)</f>
      </c>
      <c r="Q29" s="5" t="s">
        <v>60</v>
      </c>
      <c r="R29" s="13"/>
      <c r="S29" s="6"/>
      <c r="T29" s="11">
        <f>IF(R29&lt;&gt;"",R29/(1-IF(S29&lt;&gt;"",S29,$E$3)),IF(N29="","",N29*(1+$B$3)))</f>
      </c>
    </row>
    <row r="30" spans="1:20" x14ac:dyDescent="0.25">
      <c r="A30" s="5" t="s">
        <v>48</v>
      </c>
      <c r="B30" s="5" t="s">
        <v>94</v>
      </c>
      <c r="C30" s="5" t="s">
        <v>95</v>
      </c>
      <c r="D30" s="5" t="s">
        <v>85</v>
      </c>
      <c r="E30" s="8"/>
      <c r="F30" s="8"/>
      <c r="G30" s="8"/>
      <c r="H30" s="8"/>
      <c r="I30" s="9">
        <v>400</v>
      </c>
      <c r="J30" s="8"/>
      <c r="K30" s="10">
        <f>IF(COUNT(E30:J30)=0,"",MIN(E30:J30))</f>
      </c>
      <c r="L30" s="10">
        <f>IF(COUNT(E30:J30)=0,"",MAX(E30:J30))</f>
      </c>
      <c r="M30" s="5">
        <f>COUNT(E30:J30)</f>
      </c>
      <c r="N30" s="11">
        <f>IF(COUNT(E30:J30)=0,"",MEDIAN(E30:J30))</f>
      </c>
      <c r="O30" s="8"/>
      <c r="P30" s="12">
        <f>IF(OR(O30="",N30=""),"",1-O30/N30)</f>
      </c>
      <c r="Q30" s="5" t="s">
        <v>2</v>
      </c>
      <c r="R30" s="13"/>
      <c r="S30" s="6"/>
      <c r="T30" s="11">
        <f>IF(R30&lt;&gt;"",R30/(1-IF(S30&lt;&gt;"",S30,$E$3)),IF(N30="","",N30*(1+$B$3)))</f>
      </c>
    </row>
    <row r="31" spans="1:20" x14ac:dyDescent="0.25">
      <c r="A31" s="5" t="s">
        <v>48</v>
      </c>
      <c r="B31" s="5" t="s">
        <v>96</v>
      </c>
      <c r="C31" s="5" t="s">
        <v>97</v>
      </c>
      <c r="D31" s="5" t="s">
        <v>85</v>
      </c>
      <c r="E31" s="8"/>
      <c r="F31" s="9">
        <v>200</v>
      </c>
      <c r="G31" s="9">
        <v>200</v>
      </c>
      <c r="H31" s="8"/>
      <c r="I31" s="8"/>
      <c r="J31" s="8"/>
      <c r="K31" s="10">
        <f>IF(COUNT(E31:J31)=0,"",MIN(E31:J31))</f>
      </c>
      <c r="L31" s="10">
        <f>IF(COUNT(E31:J31)=0,"",MAX(E31:J31))</f>
      </c>
      <c r="M31" s="5">
        <f>COUNT(E31:J31)</f>
      </c>
      <c r="N31" s="11">
        <f>IF(COUNT(E31:J31)=0,"",MEDIAN(E31:J31))</f>
      </c>
      <c r="O31" s="8"/>
      <c r="P31" s="12">
        <f>IF(OR(O31="",N31=""),"",1-O31/N31)</f>
      </c>
      <c r="Q31" s="5" t="s">
        <v>2</v>
      </c>
      <c r="R31" s="13"/>
      <c r="S31" s="6"/>
      <c r="T31" s="11">
        <f>IF(R31&lt;&gt;"",R31/(1-IF(S31&lt;&gt;"",S31,$E$3)),IF(N31="","",N31*(1+$B$3)))</f>
      </c>
    </row>
    <row r="32" spans="1:20" x14ac:dyDescent="0.25">
      <c r="A32" s="5" t="s">
        <v>48</v>
      </c>
      <c r="B32" s="5" t="s">
        <v>98</v>
      </c>
      <c r="C32" s="5" t="s">
        <v>99</v>
      </c>
      <c r="D32" s="5" t="s">
        <v>53</v>
      </c>
      <c r="E32" s="8"/>
      <c r="F32" s="9">
        <v>0.59</v>
      </c>
      <c r="G32" s="9">
        <v>0.59</v>
      </c>
      <c r="H32" s="8"/>
      <c r="I32" s="8"/>
      <c r="J32" s="8"/>
      <c r="K32" s="10">
        <f>IF(COUNT(E32:J32)=0,"",MIN(E32:J32))</f>
      </c>
      <c r="L32" s="10">
        <f>IF(COUNT(E32:J32)=0,"",MAX(E32:J32))</f>
      </c>
      <c r="M32" s="5">
        <f>COUNT(E32:J32)</f>
      </c>
      <c r="N32" s="11">
        <f>IF(COUNT(E32:J32)=0,"",MEDIAN(E32:J32))</f>
      </c>
      <c r="O32" s="9">
        <v>0.45</v>
      </c>
      <c r="P32" s="12">
        <f>IF(OR(O32="",N32=""),"",1-O32/N32)</f>
      </c>
      <c r="Q32" s="5" t="s">
        <v>100</v>
      </c>
      <c r="R32" s="13"/>
      <c r="S32" s="6"/>
      <c r="T32" s="11">
        <f>IF(R32&lt;&gt;"",R32/(1-IF(S32&lt;&gt;"",S32,$E$3)),IF(N32="","",N32*(1+$B$3)))</f>
      </c>
    </row>
    <row r="33" spans="1:20" x14ac:dyDescent="0.25">
      <c r="A33" s="5" t="s">
        <v>48</v>
      </c>
      <c r="B33" s="5" t="s">
        <v>98</v>
      </c>
      <c r="C33" s="5" t="s">
        <v>101</v>
      </c>
      <c r="D33" s="5" t="s">
        <v>53</v>
      </c>
      <c r="E33" s="8"/>
      <c r="F33" s="8"/>
      <c r="G33" s="8"/>
      <c r="H33" s="9">
        <v>0.59</v>
      </c>
      <c r="I33" s="8"/>
      <c r="J33" s="8"/>
      <c r="K33" s="10">
        <f>IF(COUNT(E33:J33)=0,"",MIN(E33:J33))</f>
      </c>
      <c r="L33" s="10">
        <f>IF(COUNT(E33:J33)=0,"",MAX(E33:J33))</f>
      </c>
      <c r="M33" s="5">
        <f>COUNT(E33:J33)</f>
      </c>
      <c r="N33" s="11">
        <f>IF(COUNT(E33:J33)=0,"",MEDIAN(E33:J33))</f>
      </c>
      <c r="O33" s="9">
        <v>0.45</v>
      </c>
      <c r="P33" s="12">
        <f>IF(OR(O33="",N33=""),"",1-O33/N33)</f>
      </c>
      <c r="Q33" s="5" t="s">
        <v>100</v>
      </c>
      <c r="R33" s="13"/>
      <c r="S33" s="6"/>
      <c r="T33" s="11">
        <f>IF(R33&lt;&gt;"",R33/(1-IF(S33&lt;&gt;"",S33,$E$3)),IF(N33="","",N33*(1+$B$3)))</f>
      </c>
    </row>
    <row r="34" spans="1:20" x14ac:dyDescent="0.25">
      <c r="A34" s="5" t="s">
        <v>48</v>
      </c>
      <c r="B34" s="5" t="s">
        <v>102</v>
      </c>
      <c r="C34" s="5" t="s">
        <v>103</v>
      </c>
      <c r="D34" s="5" t="s">
        <v>53</v>
      </c>
      <c r="E34" s="9">
        <v>0.11</v>
      </c>
      <c r="F34" s="8"/>
      <c r="G34" s="8"/>
      <c r="H34" s="9">
        <v>0.11</v>
      </c>
      <c r="I34" s="8"/>
      <c r="J34" s="9">
        <v>0.11</v>
      </c>
      <c r="K34" s="10">
        <f>IF(COUNT(E34:J34)=0,"",MIN(E34:J34))</f>
      </c>
      <c r="L34" s="10">
        <f>IF(COUNT(E34:J34)=0,"",MAX(E34:J34))</f>
      </c>
      <c r="M34" s="5">
        <f>COUNT(E34:J34)</f>
      </c>
      <c r="N34" s="11">
        <f>IF(COUNT(E34:J34)=0,"",MEDIAN(E34:J34))</f>
      </c>
      <c r="O34" s="8"/>
      <c r="P34" s="12">
        <f>IF(OR(O34="",N34=""),"",1-O34/N34)</f>
      </c>
      <c r="Q34" s="5" t="s">
        <v>2</v>
      </c>
      <c r="R34" s="13"/>
      <c r="S34" s="6"/>
      <c r="T34" s="11">
        <f>IF(R34&lt;&gt;"",R34/(1-IF(S34&lt;&gt;"",S34,$E$3)),IF(N34="","",N34*(1+$B$3)))</f>
      </c>
    </row>
    <row r="35" spans="1:20" x14ac:dyDescent="0.25">
      <c r="A35" s="5" t="s">
        <v>48</v>
      </c>
      <c r="B35" s="5" t="s">
        <v>104</v>
      </c>
      <c r="C35" s="5" t="s">
        <v>105</v>
      </c>
      <c r="D35" s="5" t="s">
        <v>53</v>
      </c>
      <c r="E35" s="8"/>
      <c r="F35" s="8"/>
      <c r="G35" s="8"/>
      <c r="H35" s="9">
        <v>0.1</v>
      </c>
      <c r="I35" s="8"/>
      <c r="J35" s="8"/>
      <c r="K35" s="10">
        <f>IF(COUNT(E35:J35)=0,"",MIN(E35:J35))</f>
      </c>
      <c r="L35" s="10">
        <f>IF(COUNT(E35:J35)=0,"",MAX(E35:J35))</f>
      </c>
      <c r="M35" s="5">
        <f>COUNT(E35:J35)</f>
      </c>
      <c r="N35" s="11">
        <f>IF(COUNT(E35:J35)=0,"",MEDIAN(E35:J35))</f>
      </c>
      <c r="O35" s="9">
        <v>0.12</v>
      </c>
      <c r="P35" s="12">
        <f>IF(OR(O35="",N35=""),"",1-O35/N35)</f>
      </c>
      <c r="Q35" s="5" t="s">
        <v>106</v>
      </c>
      <c r="R35" s="13"/>
      <c r="S35" s="6"/>
      <c r="T35" s="11">
        <f>IF(R35&lt;&gt;"",R35/(1-IF(S35&lt;&gt;"",S35,$E$3)),IF(N35="","",N35*(1+$B$3)))</f>
      </c>
    </row>
    <row r="36" spans="1:20" x14ac:dyDescent="0.25">
      <c r="A36" s="5" t="s">
        <v>48</v>
      </c>
      <c r="B36" s="5" t="s">
        <v>107</v>
      </c>
      <c r="C36" s="5" t="s">
        <v>108</v>
      </c>
      <c r="D36" s="5" t="s">
        <v>53</v>
      </c>
      <c r="E36" s="9">
        <v>0.15</v>
      </c>
      <c r="F36" s="8"/>
      <c r="G36" s="8"/>
      <c r="H36" s="8"/>
      <c r="I36" s="8"/>
      <c r="J36" s="8"/>
      <c r="K36" s="10">
        <f>IF(COUNT(E36:J36)=0,"",MIN(E36:J36))</f>
      </c>
      <c r="L36" s="10">
        <f>IF(COUNT(E36:J36)=0,"",MAX(E36:J36))</f>
      </c>
      <c r="M36" s="5">
        <f>COUNT(E36:J36)</f>
      </c>
      <c r="N36" s="11">
        <f>IF(COUNT(E36:J36)=0,"",MEDIAN(E36:J36))</f>
      </c>
      <c r="O36" s="9">
        <v>0.12</v>
      </c>
      <c r="P36" s="12">
        <f>IF(OR(O36="",N36=""),"",1-O36/N36)</f>
      </c>
      <c r="Q36" s="5" t="s">
        <v>106</v>
      </c>
      <c r="R36" s="13"/>
      <c r="S36" s="6"/>
      <c r="T36" s="11">
        <f>IF(R36&lt;&gt;"",R36/(1-IF(S36&lt;&gt;"",S36,$E$3)),IF(N36="","",N36*(1+$B$3)))</f>
      </c>
    </row>
    <row r="37" spans="1:20" x14ac:dyDescent="0.25">
      <c r="A37" s="5" t="s">
        <v>48</v>
      </c>
      <c r="B37" s="5" t="s">
        <v>109</v>
      </c>
      <c r="C37" s="5" t="s">
        <v>110</v>
      </c>
      <c r="D37" s="5" t="s">
        <v>85</v>
      </c>
      <c r="E37" s="8"/>
      <c r="F37" s="8"/>
      <c r="G37" s="8"/>
      <c r="H37" s="9">
        <v>542.4</v>
      </c>
      <c r="I37" s="8"/>
      <c r="J37" s="9">
        <v>542.4</v>
      </c>
      <c r="K37" s="10">
        <f>IF(COUNT(E37:J37)=0,"",MIN(E37:J37))</f>
      </c>
      <c r="L37" s="10">
        <f>IF(COUNT(E37:J37)=0,"",MAX(E37:J37))</f>
      </c>
      <c r="M37" s="5">
        <f>COUNT(E37:J37)</f>
      </c>
      <c r="N37" s="11">
        <f>IF(COUNT(E37:J37)=0,"",MEDIAN(E37:J37))</f>
      </c>
      <c r="O37" s="8"/>
      <c r="P37" s="12">
        <f>IF(OR(O37="",N37=""),"",1-O37/N37)</f>
      </c>
      <c r="Q37" s="5" t="s">
        <v>2</v>
      </c>
      <c r="R37" s="13"/>
      <c r="S37" s="6"/>
      <c r="T37" s="11">
        <f>IF(R37&lt;&gt;"",R37/(1-IF(S37&lt;&gt;"",S37,$E$3)),IF(N37="","",N37*(1+$B$3)))</f>
      </c>
    </row>
    <row r="38" spans="1:20" x14ac:dyDescent="0.25">
      <c r="A38" s="5" t="s">
        <v>48</v>
      </c>
      <c r="B38" s="5" t="s">
        <v>111</v>
      </c>
      <c r="C38" s="5" t="s">
        <v>112</v>
      </c>
      <c r="D38" s="5" t="s">
        <v>85</v>
      </c>
      <c r="E38" s="8"/>
      <c r="F38" s="8"/>
      <c r="G38" s="8"/>
      <c r="H38" s="9">
        <v>374.4</v>
      </c>
      <c r="I38" s="8"/>
      <c r="J38" s="8"/>
      <c r="K38" s="10">
        <f>IF(COUNT(E38:J38)=0,"",MIN(E38:J38))</f>
      </c>
      <c r="L38" s="10">
        <f>IF(COUNT(E38:J38)=0,"",MAX(E38:J38))</f>
      </c>
      <c r="M38" s="5">
        <f>COUNT(E38:J38)</f>
      </c>
      <c r="N38" s="11">
        <f>IF(COUNT(E38:J38)=0,"",MEDIAN(E38:J38))</f>
      </c>
      <c r="O38" s="8"/>
      <c r="P38" s="12">
        <f>IF(OR(O38="",N38=""),"",1-O38/N38)</f>
      </c>
      <c r="Q38" s="5" t="s">
        <v>2</v>
      </c>
      <c r="R38" s="13"/>
      <c r="S38" s="6"/>
      <c r="T38" s="11">
        <f>IF(R38&lt;&gt;"",R38/(1-IF(S38&lt;&gt;"",S38,$E$3)),IF(N38="","",N38*(1+$B$3)))</f>
      </c>
    </row>
    <row r="39" spans="1:20" x14ac:dyDescent="0.25">
      <c r="A39" s="5" t="s">
        <v>48</v>
      </c>
      <c r="B39" s="5" t="s">
        <v>113</v>
      </c>
      <c r="C39" s="5" t="s">
        <v>114</v>
      </c>
      <c r="D39" s="5" t="s">
        <v>85</v>
      </c>
      <c r="E39" s="8"/>
      <c r="F39" s="8"/>
      <c r="G39" s="8"/>
      <c r="H39" s="9">
        <v>268.8</v>
      </c>
      <c r="I39" s="8"/>
      <c r="J39" s="9">
        <v>268.8</v>
      </c>
      <c r="K39" s="10">
        <f>IF(COUNT(E39:J39)=0,"",MIN(E39:J39))</f>
      </c>
      <c r="L39" s="10">
        <f>IF(COUNT(E39:J39)=0,"",MAX(E39:J39))</f>
      </c>
      <c r="M39" s="5">
        <f>COUNT(E39:J39)</f>
      </c>
      <c r="N39" s="11">
        <f>IF(COUNT(E39:J39)=0,"",MEDIAN(E39:J39))</f>
      </c>
      <c r="O39" s="8"/>
      <c r="P39" s="12">
        <f>IF(OR(O39="",N39=""),"",1-O39/N39)</f>
      </c>
      <c r="Q39" s="5" t="s">
        <v>2</v>
      </c>
      <c r="R39" s="13"/>
      <c r="S39" s="6"/>
      <c r="T39" s="11">
        <f>IF(R39&lt;&gt;"",R39/(1-IF(S39&lt;&gt;"",S39,$E$3)),IF(N39="","",N39*(1+$B$3)))</f>
      </c>
    </row>
    <row r="40" spans="1:20" x14ac:dyDescent="0.25">
      <c r="A40" s="5" t="s">
        <v>48</v>
      </c>
      <c r="B40" s="5" t="s">
        <v>115</v>
      </c>
      <c r="C40" s="5" t="s">
        <v>116</v>
      </c>
      <c r="D40" s="5" t="s">
        <v>85</v>
      </c>
      <c r="E40" s="8"/>
      <c r="F40" s="8"/>
      <c r="G40" s="8"/>
      <c r="H40" s="9">
        <v>1457.7</v>
      </c>
      <c r="I40" s="8"/>
      <c r="J40" s="8"/>
      <c r="K40" s="10">
        <f>IF(COUNT(E40:J40)=0,"",MIN(E40:J40))</f>
      </c>
      <c r="L40" s="10">
        <f>IF(COUNT(E40:J40)=0,"",MAX(E40:J40))</f>
      </c>
      <c r="M40" s="5">
        <f>COUNT(E40:J40)</f>
      </c>
      <c r="N40" s="11">
        <f>IF(COUNT(E40:J40)=0,"",MEDIAN(E40:J40))</f>
      </c>
      <c r="O40" s="8"/>
      <c r="P40" s="12">
        <f>IF(OR(O40="",N40=""),"",1-O40/N40)</f>
      </c>
      <c r="Q40" s="5" t="s">
        <v>2</v>
      </c>
      <c r="R40" s="13"/>
      <c r="S40" s="6"/>
      <c r="T40" s="11">
        <f>IF(R40&lt;&gt;"",R40/(1-IF(S40&lt;&gt;"",S40,$E$3)),IF(N40="","",N40*(1+$B$3)))</f>
      </c>
    </row>
    <row r="41" spans="1:20" x14ac:dyDescent="0.25">
      <c r="A41" s="5" t="s">
        <v>48</v>
      </c>
      <c r="B41" s="5" t="s">
        <v>117</v>
      </c>
      <c r="C41" s="5" t="s">
        <v>118</v>
      </c>
      <c r="D41" s="5" t="s">
        <v>85</v>
      </c>
      <c r="E41" s="8"/>
      <c r="F41" s="8"/>
      <c r="G41" s="8"/>
      <c r="H41" s="9">
        <v>1006.2</v>
      </c>
      <c r="I41" s="8"/>
      <c r="J41" s="8"/>
      <c r="K41" s="10">
        <f>IF(COUNT(E41:J41)=0,"",MIN(E41:J41))</f>
      </c>
      <c r="L41" s="10">
        <f>IF(COUNT(E41:J41)=0,"",MAX(E41:J41))</f>
      </c>
      <c r="M41" s="5">
        <f>COUNT(E41:J41)</f>
      </c>
      <c r="N41" s="11">
        <f>IF(COUNT(E41:J41)=0,"",MEDIAN(E41:J41))</f>
      </c>
      <c r="O41" s="8"/>
      <c r="P41" s="12">
        <f>IF(OR(O41="",N41=""),"",1-O41/N41)</f>
      </c>
      <c r="Q41" s="5" t="s">
        <v>2</v>
      </c>
      <c r="R41" s="13"/>
      <c r="S41" s="6"/>
      <c r="T41" s="11">
        <f>IF(R41&lt;&gt;"",R41/(1-IF(S41&lt;&gt;"",S41,$E$3)),IF(N41="","",N41*(1+$B$3)))</f>
      </c>
    </row>
    <row r="42" spans="1:20" x14ac:dyDescent="0.25">
      <c r="A42" s="5" t="s">
        <v>48</v>
      </c>
      <c r="B42" s="5" t="s">
        <v>119</v>
      </c>
      <c r="C42" s="5" t="s">
        <v>120</v>
      </c>
      <c r="D42" s="5" t="s">
        <v>85</v>
      </c>
      <c r="E42" s="8"/>
      <c r="F42" s="8"/>
      <c r="G42" s="8"/>
      <c r="H42" s="9">
        <v>722.4</v>
      </c>
      <c r="I42" s="8"/>
      <c r="J42" s="8"/>
      <c r="K42" s="10">
        <f>IF(COUNT(E42:J42)=0,"",MIN(E42:J42))</f>
      </c>
      <c r="L42" s="10">
        <f>IF(COUNT(E42:J42)=0,"",MAX(E42:J42))</f>
      </c>
      <c r="M42" s="5">
        <f>COUNT(E42:J42)</f>
      </c>
      <c r="N42" s="11">
        <f>IF(COUNT(E42:J42)=0,"",MEDIAN(E42:J42))</f>
      </c>
      <c r="O42" s="8"/>
      <c r="P42" s="12">
        <f>IF(OR(O42="",N42=""),"",1-O42/N42)</f>
      </c>
      <c r="Q42" s="5" t="s">
        <v>2</v>
      </c>
      <c r="R42" s="13"/>
      <c r="S42" s="6"/>
      <c r="T42" s="11">
        <f>IF(R42&lt;&gt;"",R42/(1-IF(S42&lt;&gt;"",S42,$E$3)),IF(N42="","",N42*(1+$B$3)))</f>
      </c>
    </row>
    <row r="43" spans="1:20" x14ac:dyDescent="0.25">
      <c r="A43" s="5" t="s">
        <v>48</v>
      </c>
      <c r="B43" s="5" t="s">
        <v>121</v>
      </c>
      <c r="C43" s="5" t="s">
        <v>122</v>
      </c>
      <c r="D43" s="5" t="s">
        <v>53</v>
      </c>
      <c r="E43" s="8"/>
      <c r="F43" s="8"/>
      <c r="G43" s="9">
        <v>2.8</v>
      </c>
      <c r="H43" s="8"/>
      <c r="I43" s="8"/>
      <c r="J43" s="9">
        <v>2.8</v>
      </c>
      <c r="K43" s="10">
        <f>IF(COUNT(E43:J43)=0,"",MIN(E43:J43))</f>
      </c>
      <c r="L43" s="10">
        <f>IF(COUNT(E43:J43)=0,"",MAX(E43:J43))</f>
      </c>
      <c r="M43" s="5">
        <f>COUNT(E43:J43)</f>
      </c>
      <c r="N43" s="11">
        <f>IF(COUNT(E43:J43)=0,"",MEDIAN(E43:J43))</f>
      </c>
      <c r="O43" s="9">
        <v>0.8</v>
      </c>
      <c r="P43" s="12">
        <f>IF(OR(O43="",N43=""),"",1-O43/N43)</f>
      </c>
      <c r="Q43" s="5" t="s">
        <v>60</v>
      </c>
      <c r="R43" s="13"/>
      <c r="S43" s="6"/>
      <c r="T43" s="11">
        <f>IF(R43&lt;&gt;"",R43/(1-IF(S43&lt;&gt;"",S43,$E$3)),IF(N43="","",N43*(1+$B$3)))</f>
      </c>
    </row>
    <row r="44" spans="1:20" x14ac:dyDescent="0.25">
      <c r="A44" s="5" t="s">
        <v>48</v>
      </c>
      <c r="B44" s="5" t="s">
        <v>123</v>
      </c>
      <c r="C44" s="5" t="s">
        <v>124</v>
      </c>
      <c r="D44" s="5" t="s">
        <v>53</v>
      </c>
      <c r="E44" s="9">
        <v>2.8</v>
      </c>
      <c r="F44" s="9">
        <v>2.8</v>
      </c>
      <c r="G44" s="9">
        <v>2.8</v>
      </c>
      <c r="H44" s="9">
        <v>3</v>
      </c>
      <c r="I44" s="8"/>
      <c r="J44" s="8"/>
      <c r="K44" s="10">
        <f>IF(COUNT(E44:J44)=0,"",MIN(E44:J44))</f>
      </c>
      <c r="L44" s="10">
        <f>IF(COUNT(E44:J44)=0,"",MAX(E44:J44))</f>
      </c>
      <c r="M44" s="5">
        <f>COUNT(E44:J44)</f>
      </c>
      <c r="N44" s="11">
        <f>IF(COUNT(E44:J44)=0,"",MEDIAN(E44:J44))</f>
      </c>
      <c r="O44" s="9">
        <v>0.8</v>
      </c>
      <c r="P44" s="12">
        <f>IF(OR(O44="",N44=""),"",1-O44/N44)</f>
      </c>
      <c r="Q44" s="5" t="s">
        <v>60</v>
      </c>
      <c r="R44" s="13"/>
      <c r="S44" s="6"/>
      <c r="T44" s="11">
        <f>IF(R44&lt;&gt;"",R44/(1-IF(S44&lt;&gt;"",S44,$E$3)),IF(N44="","",N44*(1+$B$3)))</f>
      </c>
    </row>
    <row r="45" spans="1:20" x14ac:dyDescent="0.25">
      <c r="A45" s="5" t="s">
        <v>48</v>
      </c>
      <c r="B45" s="5" t="s">
        <v>125</v>
      </c>
      <c r="C45" s="5" t="s">
        <v>126</v>
      </c>
      <c r="D45" s="5" t="s">
        <v>53</v>
      </c>
      <c r="E45" s="8"/>
      <c r="F45" s="8"/>
      <c r="G45" s="8"/>
      <c r="H45" s="9">
        <v>3</v>
      </c>
      <c r="I45" s="8"/>
      <c r="J45" s="8"/>
      <c r="K45" s="10">
        <f>IF(COUNT(E45:J45)=0,"",MIN(E45:J45))</f>
      </c>
      <c r="L45" s="10">
        <f>IF(COUNT(E45:J45)=0,"",MAX(E45:J45))</f>
      </c>
      <c r="M45" s="5">
        <f>COUNT(E45:J45)</f>
      </c>
      <c r="N45" s="11">
        <f>IF(COUNT(E45:J45)=0,"",MEDIAN(E45:J45))</f>
      </c>
      <c r="O45" s="9">
        <v>0.8</v>
      </c>
      <c r="P45" s="12">
        <f>IF(OR(O45="",N45=""),"",1-O45/N45)</f>
      </c>
      <c r="Q45" s="5" t="s">
        <v>60</v>
      </c>
      <c r="R45" s="13"/>
      <c r="S45" s="6"/>
      <c r="T45" s="11">
        <f>IF(R45&lt;&gt;"",R45/(1-IF(S45&lt;&gt;"",S45,$E$3)),IF(N45="","",N45*(1+$B$3)))</f>
      </c>
    </row>
    <row r="46" spans="1:20" x14ac:dyDescent="0.25">
      <c r="A46" s="5" t="s">
        <v>48</v>
      </c>
      <c r="B46" s="5" t="s">
        <v>127</v>
      </c>
      <c r="C46" s="5" t="s">
        <v>128</v>
      </c>
      <c r="D46" s="5" t="s">
        <v>53</v>
      </c>
      <c r="E46" s="8"/>
      <c r="F46" s="9">
        <v>2.8</v>
      </c>
      <c r="G46" s="8"/>
      <c r="H46" s="9">
        <v>2.8</v>
      </c>
      <c r="I46" s="8"/>
      <c r="J46" s="8"/>
      <c r="K46" s="10">
        <f>IF(COUNT(E46:J46)=0,"",MIN(E46:J46))</f>
      </c>
      <c r="L46" s="10">
        <f>IF(COUNT(E46:J46)=0,"",MAX(E46:J46))</f>
      </c>
      <c r="M46" s="5">
        <f>COUNT(E46:J46)</f>
      </c>
      <c r="N46" s="11">
        <f>IF(COUNT(E46:J46)=0,"",MEDIAN(E46:J46))</f>
      </c>
      <c r="O46" s="9">
        <v>0.8</v>
      </c>
      <c r="P46" s="12">
        <f>IF(OR(O46="",N46=""),"",1-O46/N46)</f>
      </c>
      <c r="Q46" s="5" t="s">
        <v>60</v>
      </c>
      <c r="R46" s="13"/>
      <c r="S46" s="6"/>
      <c r="T46" s="11">
        <f>IF(R46&lt;&gt;"",R46/(1-IF(S46&lt;&gt;"",S46,$E$3)),IF(N46="","",N46*(1+$B$3)))</f>
      </c>
    </row>
    <row r="47" spans="1:20" x14ac:dyDescent="0.25">
      <c r="A47" s="5" t="s">
        <v>48</v>
      </c>
      <c r="B47" s="5" t="s">
        <v>129</v>
      </c>
      <c r="C47" s="5" t="s">
        <v>130</v>
      </c>
      <c r="D47" s="5" t="s">
        <v>53</v>
      </c>
      <c r="E47" s="9">
        <v>2.8</v>
      </c>
      <c r="F47" s="8"/>
      <c r="G47" s="8"/>
      <c r="H47" s="8"/>
      <c r="I47" s="8"/>
      <c r="J47" s="8"/>
      <c r="K47" s="10">
        <f>IF(COUNT(E47:J47)=0,"",MIN(E47:J47))</f>
      </c>
      <c r="L47" s="10">
        <f>IF(COUNT(E47:J47)=0,"",MAX(E47:J47))</f>
      </c>
      <c r="M47" s="5">
        <f>COUNT(E47:J47)</f>
      </c>
      <c r="N47" s="11">
        <f>IF(COUNT(E47:J47)=0,"",MEDIAN(E47:J47))</f>
      </c>
      <c r="O47" s="9">
        <v>0.8</v>
      </c>
      <c r="P47" s="12">
        <f>IF(OR(O47="",N47=""),"",1-O47/N47)</f>
      </c>
      <c r="Q47" s="5" t="s">
        <v>60</v>
      </c>
      <c r="R47" s="13"/>
      <c r="S47" s="6"/>
      <c r="T47" s="11">
        <f>IF(R47&lt;&gt;"",R47/(1-IF(S47&lt;&gt;"",S47,$E$3)),IF(N47="","",N47*(1+$B$3)))</f>
      </c>
    </row>
    <row r="48" spans="1:20" x14ac:dyDescent="0.25">
      <c r="A48" s="5" t="s">
        <v>48</v>
      </c>
      <c r="B48" s="5" t="s">
        <v>131</v>
      </c>
      <c r="C48" s="5" t="s">
        <v>132</v>
      </c>
      <c r="D48" s="5" t="s">
        <v>53</v>
      </c>
      <c r="E48" s="9">
        <v>2.8</v>
      </c>
      <c r="F48" s="9">
        <v>2.8</v>
      </c>
      <c r="G48" s="9">
        <v>2.8</v>
      </c>
      <c r="H48" s="9">
        <v>3</v>
      </c>
      <c r="I48" s="9">
        <v>2.8</v>
      </c>
      <c r="J48" s="8"/>
      <c r="K48" s="10">
        <f>IF(COUNT(E48:J48)=0,"",MIN(E48:J48))</f>
      </c>
      <c r="L48" s="10">
        <f>IF(COUNT(E48:J48)=0,"",MAX(E48:J48))</f>
      </c>
      <c r="M48" s="5">
        <f>COUNT(E48:J48)</f>
      </c>
      <c r="N48" s="11">
        <f>IF(COUNT(E48:J48)=0,"",MEDIAN(E48:J48))</f>
      </c>
      <c r="O48" s="9">
        <v>0.8</v>
      </c>
      <c r="P48" s="12">
        <f>IF(OR(O48="",N48=""),"",1-O48/N48)</f>
      </c>
      <c r="Q48" s="5" t="s">
        <v>60</v>
      </c>
      <c r="R48" s="13"/>
      <c r="S48" s="6"/>
      <c r="T48" s="11">
        <f>IF(R48&lt;&gt;"",R48/(1-IF(S48&lt;&gt;"",S48,$E$3)),IF(N48="","",N48*(1+$B$3)))</f>
      </c>
    </row>
    <row r="49" spans="1:20" x14ac:dyDescent="0.25">
      <c r="A49" s="5" t="s">
        <v>48</v>
      </c>
      <c r="B49" s="5" t="s">
        <v>133</v>
      </c>
      <c r="C49" s="5" t="s">
        <v>134</v>
      </c>
      <c r="D49" s="5" t="s">
        <v>53</v>
      </c>
      <c r="E49" s="8"/>
      <c r="F49" s="8"/>
      <c r="G49" s="8"/>
      <c r="H49" s="8"/>
      <c r="I49" s="8"/>
      <c r="J49" s="9">
        <v>2.8</v>
      </c>
      <c r="K49" s="10">
        <f>IF(COUNT(E49:J49)=0,"",MIN(E49:J49))</f>
      </c>
      <c r="L49" s="10">
        <f>IF(COUNT(E49:J49)=0,"",MAX(E49:J49))</f>
      </c>
      <c r="M49" s="5">
        <f>COUNT(E49:J49)</f>
      </c>
      <c r="N49" s="11">
        <f>IF(COUNT(E49:J49)=0,"",MEDIAN(E49:J49))</f>
      </c>
      <c r="O49" s="9">
        <v>0.8</v>
      </c>
      <c r="P49" s="12">
        <f>IF(OR(O49="",N49=""),"",1-O49/N49)</f>
      </c>
      <c r="Q49" s="5" t="s">
        <v>60</v>
      </c>
      <c r="R49" s="13"/>
      <c r="S49" s="6"/>
      <c r="T49" s="11">
        <f>IF(R49&lt;&gt;"",R49/(1-IF(S49&lt;&gt;"",S49,$E$3)),IF(N49="","",N49*(1+$B$3)))</f>
      </c>
    </row>
    <row r="50" spans="1:20" x14ac:dyDescent="0.25">
      <c r="A50" s="5" t="s">
        <v>48</v>
      </c>
      <c r="B50" s="5" t="s">
        <v>135</v>
      </c>
      <c r="C50" s="5" t="s">
        <v>136</v>
      </c>
      <c r="D50" s="5" t="s">
        <v>53</v>
      </c>
      <c r="E50" s="9">
        <v>2.8</v>
      </c>
      <c r="F50" s="9">
        <v>2.8</v>
      </c>
      <c r="G50" s="9">
        <v>2.8</v>
      </c>
      <c r="H50" s="9">
        <v>2.8</v>
      </c>
      <c r="I50" s="8"/>
      <c r="J50" s="8"/>
      <c r="K50" s="10">
        <f>IF(COUNT(E50:J50)=0,"",MIN(E50:J50))</f>
      </c>
      <c r="L50" s="10">
        <f>IF(COUNT(E50:J50)=0,"",MAX(E50:J50))</f>
      </c>
      <c r="M50" s="5">
        <f>COUNT(E50:J50)</f>
      </c>
      <c r="N50" s="11">
        <f>IF(COUNT(E50:J50)=0,"",MEDIAN(E50:J50))</f>
      </c>
      <c r="O50" s="9">
        <v>0.8</v>
      </c>
      <c r="P50" s="12">
        <f>IF(OR(O50="",N50=""),"",1-O50/N50)</f>
      </c>
      <c r="Q50" s="5" t="s">
        <v>60</v>
      </c>
      <c r="R50" s="13"/>
      <c r="S50" s="6"/>
      <c r="T50" s="11">
        <f>IF(R50&lt;&gt;"",R50/(1-IF(S50&lt;&gt;"",S50,$E$3)),IF(N50="","",N50*(1+$B$3)))</f>
      </c>
    </row>
    <row r="51" spans="1:20" x14ac:dyDescent="0.25">
      <c r="A51" s="5" t="s">
        <v>48</v>
      </c>
      <c r="B51" s="5" t="s">
        <v>135</v>
      </c>
      <c r="C51" s="5" t="s">
        <v>137</v>
      </c>
      <c r="D51" s="5" t="s">
        <v>53</v>
      </c>
      <c r="E51" s="8"/>
      <c r="F51" s="8"/>
      <c r="G51" s="8"/>
      <c r="H51" s="8"/>
      <c r="I51" s="8"/>
      <c r="J51" s="9">
        <v>2.8</v>
      </c>
      <c r="K51" s="10">
        <f>IF(COUNT(E51:J51)=0,"",MIN(E51:J51))</f>
      </c>
      <c r="L51" s="10">
        <f>IF(COUNT(E51:J51)=0,"",MAX(E51:J51))</f>
      </c>
      <c r="M51" s="5">
        <f>COUNT(E51:J51)</f>
      </c>
      <c r="N51" s="11">
        <f>IF(COUNT(E51:J51)=0,"",MEDIAN(E51:J51))</f>
      </c>
      <c r="O51" s="9">
        <v>0.8</v>
      </c>
      <c r="P51" s="12">
        <f>IF(OR(O51="",N51=""),"",1-O51/N51)</f>
      </c>
      <c r="Q51" s="5" t="s">
        <v>60</v>
      </c>
      <c r="R51" s="13"/>
      <c r="S51" s="6"/>
      <c r="T51" s="11">
        <f>IF(R51&lt;&gt;"",R51/(1-IF(S51&lt;&gt;"",S51,$E$3)),IF(N51="","",N51*(1+$B$3)))</f>
      </c>
    </row>
    <row r="52" spans="1:20" x14ac:dyDescent="0.25">
      <c r="A52" s="5" t="s">
        <v>48</v>
      </c>
      <c r="B52" s="5" t="s">
        <v>138</v>
      </c>
      <c r="C52" s="5" t="s">
        <v>139</v>
      </c>
      <c r="D52" s="5" t="s">
        <v>53</v>
      </c>
      <c r="E52" s="9">
        <v>2.8</v>
      </c>
      <c r="F52" s="9">
        <v>2.8</v>
      </c>
      <c r="G52" s="9">
        <v>2.8</v>
      </c>
      <c r="H52" s="9">
        <v>2.8</v>
      </c>
      <c r="I52" s="8"/>
      <c r="J52" s="9">
        <v>2.8</v>
      </c>
      <c r="K52" s="10">
        <f>IF(COUNT(E52:J52)=0,"",MIN(E52:J52))</f>
      </c>
      <c r="L52" s="10">
        <f>IF(COUNT(E52:J52)=0,"",MAX(E52:J52))</f>
      </c>
      <c r="M52" s="5">
        <f>COUNT(E52:J52)</f>
      </c>
      <c r="N52" s="11">
        <f>IF(COUNT(E52:J52)=0,"",MEDIAN(E52:J52))</f>
      </c>
      <c r="O52" s="9">
        <v>0.8</v>
      </c>
      <c r="P52" s="12">
        <f>IF(OR(O52="",N52=""),"",1-O52/N52)</f>
      </c>
      <c r="Q52" s="5" t="s">
        <v>60</v>
      </c>
      <c r="R52" s="13"/>
      <c r="S52" s="6"/>
      <c r="T52" s="11">
        <f>IF(R52&lt;&gt;"",R52/(1-IF(S52&lt;&gt;"",S52,$E$3)),IF(N52="","",N52*(1+$B$3)))</f>
      </c>
    </row>
    <row r="53" spans="1:20" x14ac:dyDescent="0.25">
      <c r="A53" s="5" t="s">
        <v>48</v>
      </c>
      <c r="B53" s="5" t="s">
        <v>140</v>
      </c>
      <c r="C53" s="5" t="s">
        <v>141</v>
      </c>
      <c r="D53" s="5" t="s">
        <v>53</v>
      </c>
      <c r="E53" s="8"/>
      <c r="F53" s="8"/>
      <c r="G53" s="8"/>
      <c r="H53" s="8"/>
      <c r="I53" s="8"/>
      <c r="J53" s="9">
        <v>2.8</v>
      </c>
      <c r="K53" s="10">
        <f>IF(COUNT(E53:J53)=0,"",MIN(E53:J53))</f>
      </c>
      <c r="L53" s="10">
        <f>IF(COUNT(E53:J53)=0,"",MAX(E53:J53))</f>
      </c>
      <c r="M53" s="5">
        <f>COUNT(E53:J53)</f>
      </c>
      <c r="N53" s="11">
        <f>IF(COUNT(E53:J53)=0,"",MEDIAN(E53:J53))</f>
      </c>
      <c r="O53" s="9">
        <v>0.8</v>
      </c>
      <c r="P53" s="12">
        <f>IF(OR(O53="",N53=""),"",1-O53/N53)</f>
      </c>
      <c r="Q53" s="5" t="s">
        <v>60</v>
      </c>
      <c r="R53" s="13"/>
      <c r="S53" s="6"/>
      <c r="T53" s="11">
        <f>IF(R53&lt;&gt;"",R53/(1-IF(S53&lt;&gt;"",S53,$E$3)),IF(N53="","",N53*(1+$B$3)))</f>
      </c>
    </row>
    <row r="54" spans="1:20" x14ac:dyDescent="0.25">
      <c r="A54" s="5" t="s">
        <v>48</v>
      </c>
      <c r="B54" s="5" t="s">
        <v>142</v>
      </c>
      <c r="C54" s="5" t="s">
        <v>143</v>
      </c>
      <c r="D54" s="5" t="s">
        <v>53</v>
      </c>
      <c r="E54" s="9">
        <v>2.8</v>
      </c>
      <c r="F54" s="8"/>
      <c r="G54" s="8"/>
      <c r="H54" s="8"/>
      <c r="I54" s="8"/>
      <c r="J54" s="8"/>
      <c r="K54" s="10">
        <f>IF(COUNT(E54:J54)=0,"",MIN(E54:J54))</f>
      </c>
      <c r="L54" s="10">
        <f>IF(COUNT(E54:J54)=0,"",MAX(E54:J54))</f>
      </c>
      <c r="M54" s="5">
        <f>COUNT(E54:J54)</f>
      </c>
      <c r="N54" s="11">
        <f>IF(COUNT(E54:J54)=0,"",MEDIAN(E54:J54))</f>
      </c>
      <c r="O54" s="9">
        <v>0.8</v>
      </c>
      <c r="P54" s="12">
        <f>IF(OR(O54="",N54=""),"",1-O54/N54)</f>
      </c>
      <c r="Q54" s="5" t="s">
        <v>60</v>
      </c>
      <c r="R54" s="13"/>
      <c r="S54" s="6"/>
      <c r="T54" s="11">
        <f>IF(R54&lt;&gt;"",R54/(1-IF(S54&lt;&gt;"",S54,$E$3)),IF(N54="","",N54*(1+$B$3)))</f>
      </c>
    </row>
    <row r="55" spans="1:20" x14ac:dyDescent="0.25">
      <c r="A55" s="5" t="s">
        <v>48</v>
      </c>
      <c r="B55" s="5" t="s">
        <v>144</v>
      </c>
      <c r="C55" s="5" t="s">
        <v>145</v>
      </c>
      <c r="D55" s="5" t="s">
        <v>53</v>
      </c>
      <c r="E55" s="9">
        <v>2.8</v>
      </c>
      <c r="F55" s="8"/>
      <c r="G55" s="8"/>
      <c r="H55" s="8"/>
      <c r="I55" s="9">
        <v>2.8</v>
      </c>
      <c r="J55" s="8"/>
      <c r="K55" s="10">
        <f>IF(COUNT(E55:J55)=0,"",MIN(E55:J55))</f>
      </c>
      <c r="L55" s="10">
        <f>IF(COUNT(E55:J55)=0,"",MAX(E55:J55))</f>
      </c>
      <c r="M55" s="5">
        <f>COUNT(E55:J55)</f>
      </c>
      <c r="N55" s="11">
        <f>IF(COUNT(E55:J55)=0,"",MEDIAN(E55:J55))</f>
      </c>
      <c r="O55" s="9">
        <v>0.8</v>
      </c>
      <c r="P55" s="12">
        <f>IF(OR(O55="",N55=""),"",1-O55/N55)</f>
      </c>
      <c r="Q55" s="5" t="s">
        <v>60</v>
      </c>
      <c r="R55" s="13"/>
      <c r="S55" s="6"/>
      <c r="T55" s="11">
        <f>IF(R55&lt;&gt;"",R55/(1-IF(S55&lt;&gt;"",S55,$E$3)),IF(N55="","",N55*(1+$B$3)))</f>
      </c>
    </row>
    <row r="56" spans="1:20" x14ac:dyDescent="0.25">
      <c r="A56" s="5" t="s">
        <v>48</v>
      </c>
      <c r="B56" s="5" t="s">
        <v>146</v>
      </c>
      <c r="C56" s="5" t="s">
        <v>147</v>
      </c>
      <c r="D56" s="5" t="s">
        <v>53</v>
      </c>
      <c r="E56" s="8"/>
      <c r="F56" s="9">
        <v>2.8</v>
      </c>
      <c r="G56" s="8"/>
      <c r="H56" s="8"/>
      <c r="I56" s="8"/>
      <c r="J56" s="8"/>
      <c r="K56" s="10">
        <f>IF(COUNT(E56:J56)=0,"",MIN(E56:J56))</f>
      </c>
      <c r="L56" s="10">
        <f>IF(COUNT(E56:J56)=0,"",MAX(E56:J56))</f>
      </c>
      <c r="M56" s="5">
        <f>COUNT(E56:J56)</f>
      </c>
      <c r="N56" s="11">
        <f>IF(COUNT(E56:J56)=0,"",MEDIAN(E56:J56))</f>
      </c>
      <c r="O56" s="9">
        <v>0.8</v>
      </c>
      <c r="P56" s="12">
        <f>IF(OR(O56="",N56=""),"",1-O56/N56)</f>
      </c>
      <c r="Q56" s="5" t="s">
        <v>60</v>
      </c>
      <c r="R56" s="13"/>
      <c r="S56" s="6"/>
      <c r="T56" s="11">
        <f>IF(R56&lt;&gt;"",R56/(1-IF(S56&lt;&gt;"",S56,$E$3)),IF(N56="","",N56*(1+$B$3)))</f>
      </c>
    </row>
    <row r="57" spans="1:20" x14ac:dyDescent="0.25">
      <c r="A57" s="5" t="s">
        <v>48</v>
      </c>
      <c r="B57" s="5" t="s">
        <v>148</v>
      </c>
      <c r="C57" s="5" t="s">
        <v>149</v>
      </c>
      <c r="D57" s="5" t="s">
        <v>53</v>
      </c>
      <c r="E57" s="9">
        <v>2.8</v>
      </c>
      <c r="F57" s="8"/>
      <c r="G57" s="9">
        <v>2.8</v>
      </c>
      <c r="H57" s="9">
        <v>2.8</v>
      </c>
      <c r="I57" s="9">
        <v>2.8</v>
      </c>
      <c r="J57" s="9">
        <v>2.8</v>
      </c>
      <c r="K57" s="10">
        <f>IF(COUNT(E57:J57)=0,"",MIN(E57:J57))</f>
      </c>
      <c r="L57" s="10">
        <f>IF(COUNT(E57:J57)=0,"",MAX(E57:J57))</f>
      </c>
      <c r="M57" s="5">
        <f>COUNT(E57:J57)</f>
      </c>
      <c r="N57" s="11">
        <f>IF(COUNT(E57:J57)=0,"",MEDIAN(E57:J57))</f>
      </c>
      <c r="O57" s="9">
        <v>0.8</v>
      </c>
      <c r="P57" s="12">
        <f>IF(OR(O57="",N57=""),"",1-O57/N57)</f>
      </c>
      <c r="Q57" s="5" t="s">
        <v>60</v>
      </c>
      <c r="R57" s="13"/>
      <c r="S57" s="6"/>
      <c r="T57" s="11">
        <f>IF(R57&lt;&gt;"",R57/(1-IF(S57&lt;&gt;"",S57,$E$3)),IF(N57="","",N57*(1+$B$3)))</f>
      </c>
    </row>
    <row r="58" spans="1:20" x14ac:dyDescent="0.25">
      <c r="A58" s="5" t="s">
        <v>48</v>
      </c>
      <c r="B58" s="5" t="s">
        <v>150</v>
      </c>
      <c r="C58" s="5" t="s">
        <v>151</v>
      </c>
      <c r="D58" s="5" t="s">
        <v>53</v>
      </c>
      <c r="E58" s="9">
        <v>2.8</v>
      </c>
      <c r="F58" s="9">
        <v>2.8</v>
      </c>
      <c r="G58" s="9">
        <v>2.8</v>
      </c>
      <c r="H58" s="8"/>
      <c r="I58" s="8"/>
      <c r="J58" s="8"/>
      <c r="K58" s="10">
        <f>IF(COUNT(E58:J58)=0,"",MIN(E58:J58))</f>
      </c>
      <c r="L58" s="10">
        <f>IF(COUNT(E58:J58)=0,"",MAX(E58:J58))</f>
      </c>
      <c r="M58" s="5">
        <f>COUNT(E58:J58)</f>
      </c>
      <c r="N58" s="11">
        <f>IF(COUNT(E58:J58)=0,"",MEDIAN(E58:J58))</f>
      </c>
      <c r="O58" s="9">
        <v>0.8</v>
      </c>
      <c r="P58" s="12">
        <f>IF(OR(O58="",N58=""),"",1-O58/N58)</f>
      </c>
      <c r="Q58" s="5" t="s">
        <v>60</v>
      </c>
      <c r="R58" s="13"/>
      <c r="S58" s="6"/>
      <c r="T58" s="11">
        <f>IF(R58&lt;&gt;"",R58/(1-IF(S58&lt;&gt;"",S58,$E$3)),IF(N58="","",N58*(1+$B$3)))</f>
      </c>
    </row>
    <row r="59" spans="1:20" x14ac:dyDescent="0.25">
      <c r="A59" s="14" t="s">
        <v>152</v>
      </c>
      <c r="B59" s="14" t="s">
        <v>153</v>
      </c>
      <c r="C59" s="14" t="s">
        <v>154</v>
      </c>
      <c r="D59" s="14" t="s">
        <v>155</v>
      </c>
      <c r="E59" s="15">
        <v>11.25</v>
      </c>
      <c r="F59" s="15">
        <v>11.25</v>
      </c>
      <c r="G59" s="15">
        <v>11.25</v>
      </c>
      <c r="H59" s="15">
        <v>11.25</v>
      </c>
      <c r="I59" s="15">
        <v>11.25</v>
      </c>
      <c r="J59" s="15">
        <v>11.25</v>
      </c>
      <c r="K59" s="16">
        <f>IF(COUNT(E59:J59)=0,"",MIN(E59:J59))</f>
      </c>
      <c r="L59" s="16">
        <f>IF(COUNT(E59:J59)=0,"",MAX(E59:J59))</f>
      </c>
      <c r="M59" s="14">
        <f>COUNT(E59:J59)</f>
      </c>
      <c r="N59" s="17">
        <f>IF(COUNT(E59:J59)=0,"",MEDIAN(E59:J59))</f>
      </c>
      <c r="O59" s="18"/>
      <c r="P59" s="19">
        <f>IF(OR(O59="",N59=""),"",1-O59/N59)</f>
      </c>
      <c r="Q59" s="14" t="s">
        <v>2</v>
      </c>
      <c r="R59" s="13"/>
      <c r="S59" s="6"/>
      <c r="T59" s="11">
        <f>IF(R59&lt;&gt;"",R59/(1-IF(S59&lt;&gt;"",S59,$E$3)),IF(N59="","",N59*(1+$B$3)))</f>
      </c>
    </row>
    <row r="60" spans="1:20" x14ac:dyDescent="0.25">
      <c r="A60" s="14" t="s">
        <v>152</v>
      </c>
      <c r="B60" s="14" t="s">
        <v>156</v>
      </c>
      <c r="C60" s="14" t="s">
        <v>157</v>
      </c>
      <c r="D60" s="14" t="s">
        <v>155</v>
      </c>
      <c r="E60" s="18"/>
      <c r="F60" s="15">
        <v>44</v>
      </c>
      <c r="G60" s="15">
        <v>44</v>
      </c>
      <c r="H60" s="18"/>
      <c r="I60" s="18"/>
      <c r="J60" s="18"/>
      <c r="K60" s="16">
        <f>IF(COUNT(E60:J60)=0,"",MIN(E60:J60))</f>
      </c>
      <c r="L60" s="16">
        <f>IF(COUNT(E60:J60)=0,"",MAX(E60:J60))</f>
      </c>
      <c r="M60" s="14">
        <f>COUNT(E60:J60)</f>
      </c>
      <c r="N60" s="17">
        <f>IF(COUNT(E60:J60)=0,"",MEDIAN(E60:J60))</f>
      </c>
      <c r="O60" s="18"/>
      <c r="P60" s="19">
        <f>IF(OR(O60="",N60=""),"",1-O60/N60)</f>
      </c>
      <c r="Q60" s="14" t="s">
        <v>2</v>
      </c>
      <c r="R60" s="13"/>
      <c r="S60" s="6"/>
      <c r="T60" s="11">
        <f>IF(R60&lt;&gt;"",R60/(1-IF(S60&lt;&gt;"",S60,$E$3)),IF(N60="","",N60*(1+$B$3)))</f>
      </c>
    </row>
    <row r="61" spans="1:20" x14ac:dyDescent="0.25">
      <c r="A61" s="14" t="s">
        <v>152</v>
      </c>
      <c r="B61" s="14" t="s">
        <v>158</v>
      </c>
      <c r="C61" s="14" t="s">
        <v>159</v>
      </c>
      <c r="D61" s="14" t="s">
        <v>155</v>
      </c>
      <c r="E61" s="18"/>
      <c r="F61" s="18"/>
      <c r="G61" s="18"/>
      <c r="H61" s="15">
        <v>22</v>
      </c>
      <c r="I61" s="15">
        <v>22</v>
      </c>
      <c r="J61" s="15">
        <v>22</v>
      </c>
      <c r="K61" s="16">
        <f>IF(COUNT(E61:J61)=0,"",MIN(E61:J61))</f>
      </c>
      <c r="L61" s="16">
        <f>IF(COUNT(E61:J61)=0,"",MAX(E61:J61))</f>
      </c>
      <c r="M61" s="14">
        <f>COUNT(E61:J61)</f>
      </c>
      <c r="N61" s="17">
        <f>IF(COUNT(E61:J61)=0,"",MEDIAN(E61:J61))</f>
      </c>
      <c r="O61" s="18"/>
      <c r="P61" s="19">
        <f>IF(OR(O61="",N61=""),"",1-O61/N61)</f>
      </c>
      <c r="Q61" s="14" t="s">
        <v>2</v>
      </c>
      <c r="R61" s="13"/>
      <c r="S61" s="6"/>
      <c r="T61" s="11">
        <f>IF(R61&lt;&gt;"",R61/(1-IF(S61&lt;&gt;"",S61,$E$3)),IF(N61="","",N61*(1+$B$3)))</f>
      </c>
    </row>
    <row r="62" spans="1:20" x14ac:dyDescent="0.25">
      <c r="A62" s="14" t="s">
        <v>152</v>
      </c>
      <c r="B62" s="14" t="s">
        <v>160</v>
      </c>
      <c r="C62" s="14" t="s">
        <v>161</v>
      </c>
      <c r="D62" s="14" t="s">
        <v>155</v>
      </c>
      <c r="E62" s="15">
        <v>10</v>
      </c>
      <c r="F62" s="15">
        <v>10</v>
      </c>
      <c r="G62" s="15">
        <v>10</v>
      </c>
      <c r="H62" s="15">
        <v>10</v>
      </c>
      <c r="I62" s="18"/>
      <c r="J62" s="15">
        <v>10</v>
      </c>
      <c r="K62" s="16">
        <f>IF(COUNT(E62:J62)=0,"",MIN(E62:J62))</f>
      </c>
      <c r="L62" s="16">
        <f>IF(COUNT(E62:J62)=0,"",MAX(E62:J62))</f>
      </c>
      <c r="M62" s="14">
        <f>COUNT(E62:J62)</f>
      </c>
      <c r="N62" s="17">
        <f>IF(COUNT(E62:J62)=0,"",MEDIAN(E62:J62))</f>
      </c>
      <c r="O62" s="18"/>
      <c r="P62" s="19">
        <f>IF(OR(O62="",N62=""),"",1-O62/N62)</f>
      </c>
      <c r="Q62" s="14" t="s">
        <v>2</v>
      </c>
      <c r="R62" s="13"/>
      <c r="S62" s="6"/>
      <c r="T62" s="11">
        <f>IF(R62&lt;&gt;"",R62/(1-IF(S62&lt;&gt;"",S62,$E$3)),IF(N62="","",N62*(1+$B$3)))</f>
      </c>
    </row>
    <row r="63" spans="1:20" x14ac:dyDescent="0.25">
      <c r="A63" s="14" t="s">
        <v>152</v>
      </c>
      <c r="B63" s="14" t="s">
        <v>162</v>
      </c>
      <c r="C63" s="14" t="s">
        <v>163</v>
      </c>
      <c r="D63" s="14" t="s">
        <v>155</v>
      </c>
      <c r="E63" s="15">
        <v>15.7</v>
      </c>
      <c r="F63" s="15">
        <v>15.7</v>
      </c>
      <c r="G63" s="15">
        <v>15.7</v>
      </c>
      <c r="H63" s="15">
        <v>15.7</v>
      </c>
      <c r="I63" s="15">
        <v>15.7</v>
      </c>
      <c r="J63" s="15">
        <v>15.7</v>
      </c>
      <c r="K63" s="16">
        <f>IF(COUNT(E63:J63)=0,"",MIN(E63:J63))</f>
      </c>
      <c r="L63" s="16">
        <f>IF(COUNT(E63:J63)=0,"",MAX(E63:J63))</f>
      </c>
      <c r="M63" s="14">
        <f>COUNT(E63:J63)</f>
      </c>
      <c r="N63" s="17">
        <f>IF(COUNT(E63:J63)=0,"",MEDIAN(E63:J63))</f>
      </c>
      <c r="O63" s="18"/>
      <c r="P63" s="19">
        <f>IF(OR(O63="",N63=""),"",1-O63/N63)</f>
      </c>
      <c r="Q63" s="14" t="s">
        <v>2</v>
      </c>
      <c r="R63" s="13"/>
      <c r="S63" s="6"/>
      <c r="T63" s="11">
        <f>IF(R63&lt;&gt;"",R63/(1-IF(S63&lt;&gt;"",S63,$E$3)),IF(N63="","",N63*(1+$B$3)))</f>
      </c>
    </row>
    <row r="64" spans="1:20" x14ac:dyDescent="0.25">
      <c r="A64" s="14" t="s">
        <v>152</v>
      </c>
      <c r="B64" s="14" t="s">
        <v>164</v>
      </c>
      <c r="C64" s="14" t="s">
        <v>165</v>
      </c>
      <c r="D64" s="14" t="s">
        <v>155</v>
      </c>
      <c r="E64" s="18"/>
      <c r="F64" s="18"/>
      <c r="G64" s="18"/>
      <c r="H64" s="18"/>
      <c r="I64" s="18"/>
      <c r="J64" s="15">
        <v>75</v>
      </c>
      <c r="K64" s="16">
        <f>IF(COUNT(E64:J64)=0,"",MIN(E64:J64))</f>
      </c>
      <c r="L64" s="16">
        <f>IF(COUNT(E64:J64)=0,"",MAX(E64:J64))</f>
      </c>
      <c r="M64" s="14">
        <f>COUNT(E64:J64)</f>
      </c>
      <c r="N64" s="17">
        <f>IF(COUNT(E64:J64)=0,"",MEDIAN(E64:J64))</f>
      </c>
      <c r="O64" s="15">
        <v>42</v>
      </c>
      <c r="P64" s="19">
        <f>IF(OR(O64="",N64=""),"",1-O64/N64)</f>
      </c>
      <c r="Q64" s="14" t="s">
        <v>166</v>
      </c>
      <c r="R64" s="13"/>
      <c r="S64" s="6"/>
      <c r="T64" s="11">
        <f>IF(R64&lt;&gt;"",R64/(1-IF(S64&lt;&gt;"",S64,$E$3)),IF(N64="","",N64*(1+$B$3)))</f>
      </c>
    </row>
    <row r="65" spans="1:20" x14ac:dyDescent="0.25">
      <c r="A65" s="14" t="s">
        <v>152</v>
      </c>
      <c r="B65" s="14" t="s">
        <v>167</v>
      </c>
      <c r="C65" s="14" t="s">
        <v>168</v>
      </c>
      <c r="D65" s="14" t="s">
        <v>155</v>
      </c>
      <c r="E65" s="15">
        <v>54</v>
      </c>
      <c r="F65" s="15">
        <v>54</v>
      </c>
      <c r="G65" s="18"/>
      <c r="H65" s="18"/>
      <c r="I65" s="15">
        <v>54</v>
      </c>
      <c r="J65" s="18"/>
      <c r="K65" s="16">
        <f>IF(COUNT(E65:J65)=0,"",MIN(E65:J65))</f>
      </c>
      <c r="L65" s="16">
        <f>IF(COUNT(E65:J65)=0,"",MAX(E65:J65))</f>
      </c>
      <c r="M65" s="14">
        <f>COUNT(E65:J65)</f>
      </c>
      <c r="N65" s="17">
        <f>IF(COUNT(E65:J65)=0,"",MEDIAN(E65:J65))</f>
      </c>
      <c r="O65" s="15">
        <v>42</v>
      </c>
      <c r="P65" s="19">
        <f>IF(OR(O65="",N65=""),"",1-O65/N65)</f>
      </c>
      <c r="Q65" s="14" t="s">
        <v>166</v>
      </c>
      <c r="R65" s="13"/>
      <c r="S65" s="6"/>
      <c r="T65" s="11">
        <f>IF(R65&lt;&gt;"",R65/(1-IF(S65&lt;&gt;"",S65,$E$3)),IF(N65="","",N65*(1+$B$3)))</f>
      </c>
    </row>
    <row r="66" spans="1:20" x14ac:dyDescent="0.25">
      <c r="A66" s="14" t="s">
        <v>152</v>
      </c>
      <c r="B66" s="14" t="s">
        <v>167</v>
      </c>
      <c r="C66" s="14" t="s">
        <v>169</v>
      </c>
      <c r="D66" s="14" t="s">
        <v>155</v>
      </c>
      <c r="E66" s="18"/>
      <c r="F66" s="18"/>
      <c r="G66" s="18"/>
      <c r="H66" s="15">
        <v>71.67</v>
      </c>
      <c r="I66" s="18"/>
      <c r="J66" s="18"/>
      <c r="K66" s="16">
        <f>IF(COUNT(E66:J66)=0,"",MIN(E66:J66))</f>
      </c>
      <c r="L66" s="16">
        <f>IF(COUNT(E66:J66)=0,"",MAX(E66:J66))</f>
      </c>
      <c r="M66" s="14">
        <f>COUNT(E66:J66)</f>
      </c>
      <c r="N66" s="17">
        <f>IF(COUNT(E66:J66)=0,"",MEDIAN(E66:J66))</f>
      </c>
      <c r="O66" s="15">
        <v>42</v>
      </c>
      <c r="P66" s="19">
        <f>IF(OR(O66="",N66=""),"",1-O66/N66)</f>
      </c>
      <c r="Q66" s="14" t="s">
        <v>166</v>
      </c>
      <c r="R66" s="13"/>
      <c r="S66" s="6"/>
      <c r="T66" s="11">
        <f>IF(R66&lt;&gt;"",R66/(1-IF(S66&lt;&gt;"",S66,$E$3)),IF(N66="","",N66*(1+$B$3)))</f>
      </c>
    </row>
    <row r="67" spans="1:20" x14ac:dyDescent="0.25">
      <c r="A67" s="14" t="s">
        <v>152</v>
      </c>
      <c r="B67" s="14" t="s">
        <v>170</v>
      </c>
      <c r="C67" s="14" t="s">
        <v>169</v>
      </c>
      <c r="D67" s="14" t="s">
        <v>155</v>
      </c>
      <c r="E67" s="18"/>
      <c r="F67" s="18"/>
      <c r="G67" s="15">
        <v>82.42</v>
      </c>
      <c r="H67" s="18"/>
      <c r="I67" s="18"/>
      <c r="J67" s="18"/>
      <c r="K67" s="16">
        <f>IF(COUNT(E67:J67)=0,"",MIN(E67:J67))</f>
      </c>
      <c r="L67" s="16">
        <f>IF(COUNT(E67:J67)=0,"",MAX(E67:J67))</f>
      </c>
      <c r="M67" s="14">
        <f>COUNT(E67:J67)</f>
      </c>
      <c r="N67" s="17">
        <f>IF(COUNT(E67:J67)=0,"",MEDIAN(E67:J67))</f>
      </c>
      <c r="O67" s="15">
        <v>42</v>
      </c>
      <c r="P67" s="19">
        <f>IF(OR(O67="",N67=""),"",1-O67/N67)</f>
      </c>
      <c r="Q67" s="14" t="s">
        <v>166</v>
      </c>
      <c r="R67" s="13"/>
      <c r="S67" s="6"/>
      <c r="T67" s="11">
        <f>IF(R67&lt;&gt;"",R67/(1-IF(S67&lt;&gt;"",S67,$E$3)),IF(N67="","",N67*(1+$B$3)))</f>
      </c>
    </row>
    <row r="68" spans="1:20" x14ac:dyDescent="0.25">
      <c r="A68" s="14" t="s">
        <v>152</v>
      </c>
      <c r="B68" s="14" t="s">
        <v>171</v>
      </c>
      <c r="C68" s="14" t="s">
        <v>172</v>
      </c>
      <c r="D68" s="14" t="s">
        <v>155</v>
      </c>
      <c r="E68" s="15">
        <v>22</v>
      </c>
      <c r="F68" s="15">
        <v>22</v>
      </c>
      <c r="G68" s="15">
        <v>22</v>
      </c>
      <c r="H68" s="15">
        <v>22</v>
      </c>
      <c r="I68" s="15">
        <v>22</v>
      </c>
      <c r="J68" s="15">
        <v>22</v>
      </c>
      <c r="K68" s="16">
        <f>IF(COUNT(E68:J68)=0,"",MIN(E68:J68))</f>
      </c>
      <c r="L68" s="16">
        <f>IF(COUNT(E68:J68)=0,"",MAX(E68:J68))</f>
      </c>
      <c r="M68" s="14">
        <f>COUNT(E68:J68)</f>
      </c>
      <c r="N68" s="17">
        <f>IF(COUNT(E68:J68)=0,"",MEDIAN(E68:J68))</f>
      </c>
      <c r="O68" s="18"/>
      <c r="P68" s="19">
        <f>IF(OR(O68="",N68=""),"",1-O68/N68)</f>
      </c>
      <c r="Q68" s="14" t="s">
        <v>2</v>
      </c>
      <c r="R68" s="13"/>
      <c r="S68" s="6"/>
      <c r="T68" s="11">
        <f>IF(R68&lt;&gt;"",R68/(1-IF(S68&lt;&gt;"",S68,$E$3)),IF(N68="","",N68*(1+$B$3)))</f>
      </c>
    </row>
    <row r="69" spans="1:20" x14ac:dyDescent="0.25">
      <c r="A69" s="14" t="s">
        <v>152</v>
      </c>
      <c r="B69" s="14" t="s">
        <v>173</v>
      </c>
      <c r="C69" s="14" t="s">
        <v>174</v>
      </c>
      <c r="D69" s="14" t="s">
        <v>155</v>
      </c>
      <c r="E69" s="15">
        <v>22</v>
      </c>
      <c r="F69" s="15">
        <v>22</v>
      </c>
      <c r="G69" s="18"/>
      <c r="H69" s="15">
        <v>22</v>
      </c>
      <c r="I69" s="15">
        <v>22</v>
      </c>
      <c r="J69" s="18"/>
      <c r="K69" s="16">
        <f>IF(COUNT(E69:J69)=0,"",MIN(E69:J69))</f>
      </c>
      <c r="L69" s="16">
        <f>IF(COUNT(E69:J69)=0,"",MAX(E69:J69))</f>
      </c>
      <c r="M69" s="14">
        <f>COUNT(E69:J69)</f>
      </c>
      <c r="N69" s="17">
        <f>IF(COUNT(E69:J69)=0,"",MEDIAN(E69:J69))</f>
      </c>
      <c r="O69" s="18"/>
      <c r="P69" s="19">
        <f>IF(OR(O69="",N69=""),"",1-O69/N69)</f>
      </c>
      <c r="Q69" s="14" t="s">
        <v>2</v>
      </c>
      <c r="R69" s="13"/>
      <c r="S69" s="6"/>
      <c r="T69" s="11">
        <f>IF(R69&lt;&gt;"",R69/(1-IF(S69&lt;&gt;"",S69,$E$3)),IF(N69="","",N69*(1+$B$3)))</f>
      </c>
    </row>
    <row r="70" spans="1:20" x14ac:dyDescent="0.25">
      <c r="A70" s="5" t="s">
        <v>175</v>
      </c>
      <c r="B70" s="5" t="s">
        <v>176</v>
      </c>
      <c r="C70" s="5" t="s">
        <v>177</v>
      </c>
      <c r="D70" s="5" t="s">
        <v>178</v>
      </c>
      <c r="E70" s="9">
        <v>25.05</v>
      </c>
      <c r="F70" s="9">
        <v>25.05</v>
      </c>
      <c r="G70" s="9">
        <v>25.05</v>
      </c>
      <c r="H70" s="8"/>
      <c r="I70" s="8"/>
      <c r="J70" s="9">
        <v>25.05</v>
      </c>
      <c r="K70" s="10">
        <f>IF(COUNT(E70:J70)=0,"",MIN(E70:J70))</f>
      </c>
      <c r="L70" s="10">
        <f>IF(COUNT(E70:J70)=0,"",MAX(E70:J70))</f>
      </c>
      <c r="M70" s="5">
        <f>COUNT(E70:J70)</f>
      </c>
      <c r="N70" s="11">
        <f>IF(COUNT(E70:J70)=0,"",MEDIAN(E70:J70))</f>
      </c>
      <c r="O70" s="8"/>
      <c r="P70" s="12">
        <f>IF(OR(O70="",N70=""),"",1-O70/N70)</f>
      </c>
      <c r="Q70" s="5" t="s">
        <v>2</v>
      </c>
      <c r="R70" s="13"/>
      <c r="S70" s="6"/>
      <c r="T70" s="11">
        <f>IF(R70&lt;&gt;"",R70/(1-IF(S70&lt;&gt;"",S70,$E$3)),IF(N70="","",N70*(1+$B$3)))</f>
      </c>
    </row>
    <row r="71" spans="1:20" x14ac:dyDescent="0.25">
      <c r="A71" s="5" t="s">
        <v>175</v>
      </c>
      <c r="B71" s="5" t="s">
        <v>176</v>
      </c>
      <c r="C71" s="5" t="s">
        <v>179</v>
      </c>
      <c r="D71" s="5" t="s">
        <v>178</v>
      </c>
      <c r="E71" s="8"/>
      <c r="F71" s="8"/>
      <c r="G71" s="8"/>
      <c r="H71" s="9">
        <v>25.05</v>
      </c>
      <c r="I71" s="9">
        <v>25.05</v>
      </c>
      <c r="J71" s="8"/>
      <c r="K71" s="10">
        <f>IF(COUNT(E71:J71)=0,"",MIN(E71:J71))</f>
      </c>
      <c r="L71" s="10">
        <f>IF(COUNT(E71:J71)=0,"",MAX(E71:J71))</f>
      </c>
      <c r="M71" s="5">
        <f>COUNT(E71:J71)</f>
      </c>
      <c r="N71" s="11">
        <f>IF(COUNT(E71:J71)=0,"",MEDIAN(E71:J71))</f>
      </c>
      <c r="O71" s="8"/>
      <c r="P71" s="12">
        <f>IF(OR(O71="",N71=""),"",1-O71/N71)</f>
      </c>
      <c r="Q71" s="5" t="s">
        <v>2</v>
      </c>
      <c r="R71" s="13"/>
      <c r="S71" s="6"/>
      <c r="T71" s="11">
        <f>IF(R71&lt;&gt;"",R71/(1-IF(S71&lt;&gt;"",S71,$E$3)),IF(N71="","",N71*(1+$B$3)))</f>
      </c>
    </row>
    <row r="72" spans="1:20" x14ac:dyDescent="0.25">
      <c r="A72" s="5" t="s">
        <v>175</v>
      </c>
      <c r="B72" s="5" t="s">
        <v>180</v>
      </c>
      <c r="C72" s="5" t="s">
        <v>154</v>
      </c>
      <c r="D72" s="5" t="s">
        <v>155</v>
      </c>
      <c r="E72" s="9">
        <v>11.25</v>
      </c>
      <c r="F72" s="9">
        <v>11.25</v>
      </c>
      <c r="G72" s="9">
        <v>11.25</v>
      </c>
      <c r="H72" s="9">
        <v>11.25</v>
      </c>
      <c r="I72" s="9">
        <v>11.25</v>
      </c>
      <c r="J72" s="9">
        <v>11.25</v>
      </c>
      <c r="K72" s="10">
        <f>IF(COUNT(E72:J72)=0,"",MIN(E72:J72))</f>
      </c>
      <c r="L72" s="10">
        <f>IF(COUNT(E72:J72)=0,"",MAX(E72:J72))</f>
      </c>
      <c r="M72" s="5">
        <f>COUNT(E72:J72)</f>
      </c>
      <c r="N72" s="11">
        <f>IF(COUNT(E72:J72)=0,"",MEDIAN(E72:J72))</f>
      </c>
      <c r="O72" s="8"/>
      <c r="P72" s="12">
        <f>IF(OR(O72="",N72=""),"",1-O72/N72)</f>
      </c>
      <c r="Q72" s="5" t="s">
        <v>2</v>
      </c>
      <c r="R72" s="13"/>
      <c r="S72" s="6"/>
      <c r="T72" s="11">
        <f>IF(R72&lt;&gt;"",R72/(1-IF(S72&lt;&gt;"",S72,$E$3)),IF(N72="","",N72*(1+$B$3)))</f>
      </c>
    </row>
    <row r="73" spans="1:20" x14ac:dyDescent="0.25">
      <c r="A73" s="5" t="s">
        <v>175</v>
      </c>
      <c r="B73" s="5" t="s">
        <v>181</v>
      </c>
      <c r="C73" s="5" t="s">
        <v>182</v>
      </c>
      <c r="D73" s="5" t="s">
        <v>178</v>
      </c>
      <c r="E73" s="9">
        <v>38</v>
      </c>
      <c r="F73" s="9">
        <v>38</v>
      </c>
      <c r="G73" s="9">
        <v>38</v>
      </c>
      <c r="H73" s="9">
        <v>38</v>
      </c>
      <c r="I73" s="9">
        <v>38</v>
      </c>
      <c r="J73" s="9">
        <v>38</v>
      </c>
      <c r="K73" s="10">
        <f>IF(COUNT(E73:J73)=0,"",MIN(E73:J73))</f>
      </c>
      <c r="L73" s="10">
        <f>IF(COUNT(E73:J73)=0,"",MAX(E73:J73))</f>
      </c>
      <c r="M73" s="5">
        <f>COUNT(E73:J73)</f>
      </c>
      <c r="N73" s="11">
        <f>IF(COUNT(E73:J73)=0,"",MEDIAN(E73:J73))</f>
      </c>
      <c r="O73" s="8"/>
      <c r="P73" s="12">
        <f>IF(OR(O73="",N73=""),"",1-O73/N73)</f>
      </c>
      <c r="Q73" s="5" t="s">
        <v>2</v>
      </c>
      <c r="R73" s="13"/>
      <c r="S73" s="6"/>
      <c r="T73" s="11">
        <f>IF(R73&lt;&gt;"",R73/(1-IF(S73&lt;&gt;"",S73,$E$3)),IF(N73="","",N73*(1+$B$3)))</f>
      </c>
    </row>
    <row r="74" spans="1:20" x14ac:dyDescent="0.25">
      <c r="A74" s="5" t="s">
        <v>175</v>
      </c>
      <c r="B74" s="5" t="s">
        <v>183</v>
      </c>
      <c r="C74" s="5" t="s">
        <v>184</v>
      </c>
      <c r="D74" s="5" t="s">
        <v>85</v>
      </c>
      <c r="E74" s="9">
        <v>52</v>
      </c>
      <c r="F74" s="9">
        <v>52</v>
      </c>
      <c r="G74" s="9">
        <v>52</v>
      </c>
      <c r="H74" s="9">
        <v>52</v>
      </c>
      <c r="I74" s="9">
        <v>52</v>
      </c>
      <c r="J74" s="9">
        <v>52</v>
      </c>
      <c r="K74" s="10">
        <f>IF(COUNT(E74:J74)=0,"",MIN(E74:J74))</f>
      </c>
      <c r="L74" s="10">
        <f>IF(COUNT(E74:J74)=0,"",MAX(E74:J74))</f>
      </c>
      <c r="M74" s="5">
        <f>COUNT(E74:J74)</f>
      </c>
      <c r="N74" s="11">
        <f>IF(COUNT(E74:J74)=0,"",MEDIAN(E74:J74))</f>
      </c>
      <c r="O74" s="8"/>
      <c r="P74" s="12">
        <f>IF(OR(O74="",N74=""),"",1-O74/N74)</f>
      </c>
      <c r="Q74" s="5" t="s">
        <v>2</v>
      </c>
      <c r="R74" s="13"/>
      <c r="S74" s="6"/>
      <c r="T74" s="11">
        <f>IF(R74&lt;&gt;"",R74/(1-IF(S74&lt;&gt;"",S74,$E$3)),IF(N74="","",N74*(1+$B$3)))</f>
      </c>
    </row>
    <row r="75" spans="1:20" x14ac:dyDescent="0.25">
      <c r="A75" s="5" t="s">
        <v>175</v>
      </c>
      <c r="B75" s="5" t="s">
        <v>185</v>
      </c>
      <c r="C75" s="5" t="s">
        <v>159</v>
      </c>
      <c r="D75" s="5" t="s">
        <v>155</v>
      </c>
      <c r="E75" s="9">
        <v>22</v>
      </c>
      <c r="F75" s="9">
        <v>22</v>
      </c>
      <c r="G75" s="8"/>
      <c r="H75" s="9">
        <v>22</v>
      </c>
      <c r="I75" s="9">
        <v>22</v>
      </c>
      <c r="J75" s="9">
        <v>22</v>
      </c>
      <c r="K75" s="10">
        <f>IF(COUNT(E75:J75)=0,"",MIN(E75:J75))</f>
      </c>
      <c r="L75" s="10">
        <f>IF(COUNT(E75:J75)=0,"",MAX(E75:J75))</f>
      </c>
      <c r="M75" s="5">
        <f>COUNT(E75:J75)</f>
      </c>
      <c r="N75" s="11">
        <f>IF(COUNT(E75:J75)=0,"",MEDIAN(E75:J75))</f>
      </c>
      <c r="O75" s="8"/>
      <c r="P75" s="12">
        <f>IF(OR(O75="",N75=""),"",1-O75/N75)</f>
      </c>
      <c r="Q75" s="5" t="s">
        <v>2</v>
      </c>
      <c r="R75" s="13"/>
      <c r="S75" s="6"/>
      <c r="T75" s="11">
        <f>IF(R75&lt;&gt;"",R75/(1-IF(S75&lt;&gt;"",S75,$E$3)),IF(N75="","",N75*(1+$B$3)))</f>
      </c>
    </row>
    <row r="76" spans="1:20" x14ac:dyDescent="0.25">
      <c r="A76" s="5" t="s">
        <v>175</v>
      </c>
      <c r="B76" s="5" t="s">
        <v>186</v>
      </c>
      <c r="C76" s="5" t="s">
        <v>187</v>
      </c>
      <c r="D76" s="5" t="s">
        <v>155</v>
      </c>
      <c r="E76" s="9">
        <v>10</v>
      </c>
      <c r="F76" s="9">
        <v>10</v>
      </c>
      <c r="G76" s="9">
        <v>10</v>
      </c>
      <c r="H76" s="9">
        <v>10</v>
      </c>
      <c r="I76" s="9">
        <v>10</v>
      </c>
      <c r="J76" s="9">
        <v>10</v>
      </c>
      <c r="K76" s="10">
        <f>IF(COUNT(E76:J76)=0,"",MIN(E76:J76))</f>
      </c>
      <c r="L76" s="10">
        <f>IF(COUNT(E76:J76)=0,"",MAX(E76:J76))</f>
      </c>
      <c r="M76" s="5">
        <f>COUNT(E76:J76)</f>
      </c>
      <c r="N76" s="11">
        <f>IF(COUNT(E76:J76)=0,"",MEDIAN(E76:J76))</f>
      </c>
      <c r="O76" s="8"/>
      <c r="P76" s="12">
        <f>IF(OR(O76="",N76=""),"",1-O76/N76)</f>
      </c>
      <c r="Q76" s="5" t="s">
        <v>2</v>
      </c>
      <c r="R76" s="13"/>
      <c r="S76" s="6"/>
      <c r="T76" s="11">
        <f>IF(R76&lt;&gt;"",R76/(1-IF(S76&lt;&gt;"",S76,$E$3)),IF(N76="","",N76*(1+$B$3)))</f>
      </c>
    </row>
    <row r="77" spans="1:20" x14ac:dyDescent="0.25">
      <c r="A77" s="5" t="s">
        <v>175</v>
      </c>
      <c r="B77" s="5" t="s">
        <v>188</v>
      </c>
      <c r="C77" s="5" t="s">
        <v>189</v>
      </c>
      <c r="D77" s="5" t="s">
        <v>155</v>
      </c>
      <c r="E77" s="8"/>
      <c r="F77" s="8"/>
      <c r="G77" s="8"/>
      <c r="H77" s="8"/>
      <c r="I77" s="8"/>
      <c r="J77" s="9">
        <v>65</v>
      </c>
      <c r="K77" s="10">
        <f>IF(COUNT(E77:J77)=0,"",MIN(E77:J77))</f>
      </c>
      <c r="L77" s="10">
        <f>IF(COUNT(E77:J77)=0,"",MAX(E77:J77))</f>
      </c>
      <c r="M77" s="5">
        <f>COUNT(E77:J77)</f>
      </c>
      <c r="N77" s="11">
        <f>IF(COUNT(E77:J77)=0,"",MEDIAN(E77:J77))</f>
      </c>
      <c r="O77" s="9">
        <v>52</v>
      </c>
      <c r="P77" s="12">
        <f>IF(OR(O77="",N77=""),"",1-O77/N77)</f>
      </c>
      <c r="Q77" s="5" t="s">
        <v>190</v>
      </c>
      <c r="R77" s="13"/>
      <c r="S77" s="6"/>
      <c r="T77" s="11">
        <f>IF(R77&lt;&gt;"",R77/(1-IF(S77&lt;&gt;"",S77,$E$3)),IF(N77="","",N77*(1+$B$3)))</f>
      </c>
    </row>
    <row r="78" spans="1:20" x14ac:dyDescent="0.25">
      <c r="A78" s="5" t="s">
        <v>175</v>
      </c>
      <c r="B78" s="5" t="s">
        <v>191</v>
      </c>
      <c r="C78" s="5" t="s">
        <v>192</v>
      </c>
      <c r="D78" s="5" t="s">
        <v>155</v>
      </c>
      <c r="E78" s="9">
        <v>61</v>
      </c>
      <c r="F78" s="9">
        <v>61</v>
      </c>
      <c r="G78" s="8"/>
      <c r="H78" s="8"/>
      <c r="I78" s="9">
        <v>61</v>
      </c>
      <c r="J78" s="8"/>
      <c r="K78" s="10">
        <f>IF(COUNT(E78:J78)=0,"",MIN(E78:J78))</f>
      </c>
      <c r="L78" s="10">
        <f>IF(COUNT(E78:J78)=0,"",MAX(E78:J78))</f>
      </c>
      <c r="M78" s="5">
        <f>COUNT(E78:J78)</f>
      </c>
      <c r="N78" s="11">
        <f>IF(COUNT(E78:J78)=0,"",MEDIAN(E78:J78))</f>
      </c>
      <c r="O78" s="9">
        <v>52</v>
      </c>
      <c r="P78" s="12">
        <f>IF(OR(O78="",N78=""),"",1-O78/N78)</f>
      </c>
      <c r="Q78" s="5" t="s">
        <v>190</v>
      </c>
      <c r="R78" s="13"/>
      <c r="S78" s="6"/>
      <c r="T78" s="11">
        <f>IF(R78&lt;&gt;"",R78/(1-IF(S78&lt;&gt;"",S78,$E$3)),IF(N78="","",N78*(1+$B$3)))</f>
      </c>
    </row>
    <row r="79" spans="1:20" x14ac:dyDescent="0.25">
      <c r="A79" s="5" t="s">
        <v>175</v>
      </c>
      <c r="B79" s="5" t="s">
        <v>191</v>
      </c>
      <c r="C79" s="5" t="s">
        <v>193</v>
      </c>
      <c r="D79" s="5" t="s">
        <v>155</v>
      </c>
      <c r="E79" s="8"/>
      <c r="F79" s="8"/>
      <c r="G79" s="8"/>
      <c r="H79" s="9">
        <v>53.78</v>
      </c>
      <c r="I79" s="8"/>
      <c r="J79" s="8"/>
      <c r="K79" s="10">
        <f>IF(COUNT(E79:J79)=0,"",MIN(E79:J79))</f>
      </c>
      <c r="L79" s="10">
        <f>IF(COUNT(E79:J79)=0,"",MAX(E79:J79))</f>
      </c>
      <c r="M79" s="5">
        <f>COUNT(E79:J79)</f>
      </c>
      <c r="N79" s="11">
        <f>IF(COUNT(E79:J79)=0,"",MEDIAN(E79:J79))</f>
      </c>
      <c r="O79" s="9">
        <v>52</v>
      </c>
      <c r="P79" s="12">
        <f>IF(OR(O79="",N79=""),"",1-O79/N79)</f>
      </c>
      <c r="Q79" s="5" t="s">
        <v>190</v>
      </c>
      <c r="R79" s="13"/>
      <c r="S79" s="6"/>
      <c r="T79" s="11">
        <f>IF(R79&lt;&gt;"",R79/(1-IF(S79&lt;&gt;"",S79,$E$3)),IF(N79="","",N79*(1+$B$3)))</f>
      </c>
    </row>
    <row r="80" spans="1:20" x14ac:dyDescent="0.25">
      <c r="A80" s="5" t="s">
        <v>175</v>
      </c>
      <c r="B80" s="5" t="s">
        <v>194</v>
      </c>
      <c r="C80" s="5" t="s">
        <v>195</v>
      </c>
      <c r="D80" s="5" t="s">
        <v>155</v>
      </c>
      <c r="E80" s="8"/>
      <c r="F80" s="8"/>
      <c r="G80" s="9">
        <v>58.37</v>
      </c>
      <c r="H80" s="8"/>
      <c r="I80" s="8"/>
      <c r="J80" s="8"/>
      <c r="K80" s="10">
        <f>IF(COUNT(E80:J80)=0,"",MIN(E80:J80))</f>
      </c>
      <c r="L80" s="10">
        <f>IF(COUNT(E80:J80)=0,"",MAX(E80:J80))</f>
      </c>
      <c r="M80" s="5">
        <f>COUNT(E80:J80)</f>
      </c>
      <c r="N80" s="11">
        <f>IF(COUNT(E80:J80)=0,"",MEDIAN(E80:J80))</f>
      </c>
      <c r="O80" s="9">
        <v>52</v>
      </c>
      <c r="P80" s="12">
        <f>IF(OR(O80="",N80=""),"",1-O80/N80)</f>
      </c>
      <c r="Q80" s="5" t="s">
        <v>190</v>
      </c>
      <c r="R80" s="13"/>
      <c r="S80" s="6"/>
      <c r="T80" s="11">
        <f>IF(R80&lt;&gt;"",R80/(1-IF(S80&lt;&gt;"",S80,$E$3)),IF(N80="","",N80*(1+$B$3)))</f>
      </c>
    </row>
    <row r="81" spans="1:20" x14ac:dyDescent="0.25">
      <c r="A81" s="5" t="s">
        <v>175</v>
      </c>
      <c r="B81" s="5" t="s">
        <v>196</v>
      </c>
      <c r="C81" s="5" t="s">
        <v>197</v>
      </c>
      <c r="D81" s="5" t="s">
        <v>155</v>
      </c>
      <c r="E81" s="9">
        <v>36</v>
      </c>
      <c r="F81" s="9">
        <v>36</v>
      </c>
      <c r="G81" s="9">
        <v>36</v>
      </c>
      <c r="H81" s="9">
        <v>36</v>
      </c>
      <c r="I81" s="9">
        <v>36</v>
      </c>
      <c r="J81" s="9">
        <v>36</v>
      </c>
      <c r="K81" s="10">
        <f>IF(COUNT(E81:J81)=0,"",MIN(E81:J81))</f>
      </c>
      <c r="L81" s="10">
        <f>IF(COUNT(E81:J81)=0,"",MAX(E81:J81))</f>
      </c>
      <c r="M81" s="5">
        <f>COUNT(E81:J81)</f>
      </c>
      <c r="N81" s="11">
        <f>IF(COUNT(E81:J81)=0,"",MEDIAN(E81:J81))</f>
      </c>
      <c r="O81" s="8"/>
      <c r="P81" s="12">
        <f>IF(OR(O81="",N81=""),"",1-O81/N81)</f>
      </c>
      <c r="Q81" s="5" t="s">
        <v>2</v>
      </c>
      <c r="R81" s="13"/>
      <c r="S81" s="6"/>
      <c r="T81" s="11">
        <f>IF(R81&lt;&gt;"",R81/(1-IF(S81&lt;&gt;"",S81,$E$3)),IF(N81="","",N81*(1+$B$3)))</f>
      </c>
    </row>
    <row r="82" spans="1:20" x14ac:dyDescent="0.25">
      <c r="A82" s="5" t="s">
        <v>175</v>
      </c>
      <c r="B82" s="5" t="s">
        <v>198</v>
      </c>
      <c r="C82" s="5" t="s">
        <v>199</v>
      </c>
      <c r="D82" s="5" t="s">
        <v>155</v>
      </c>
      <c r="E82" s="9">
        <v>10</v>
      </c>
      <c r="F82" s="9">
        <v>10</v>
      </c>
      <c r="G82" s="9">
        <v>10</v>
      </c>
      <c r="H82" s="9">
        <v>10</v>
      </c>
      <c r="I82" s="9">
        <v>10</v>
      </c>
      <c r="J82" s="9">
        <v>10</v>
      </c>
      <c r="K82" s="10">
        <f>IF(COUNT(E82:J82)=0,"",MIN(E82:J82))</f>
      </c>
      <c r="L82" s="10">
        <f>IF(COUNT(E82:J82)=0,"",MAX(E82:J82))</f>
      </c>
      <c r="M82" s="5">
        <f>COUNT(E82:J82)</f>
      </c>
      <c r="N82" s="11">
        <f>IF(COUNT(E82:J82)=0,"",MEDIAN(E82:J82))</f>
      </c>
      <c r="O82" s="8"/>
      <c r="P82" s="12">
        <f>IF(OR(O82="",N82=""),"",1-O82/N82)</f>
      </c>
      <c r="Q82" s="5" t="s">
        <v>2</v>
      </c>
      <c r="R82" s="13"/>
      <c r="S82" s="6"/>
      <c r="T82" s="11">
        <f>IF(R82&lt;&gt;"",R82/(1-IF(S82&lt;&gt;"",S82,$E$3)),IF(N82="","",N82*(1+$B$3)))</f>
      </c>
    </row>
    <row r="83" spans="1:20" x14ac:dyDescent="0.25">
      <c r="A83" s="14" t="s">
        <v>200</v>
      </c>
      <c r="B83" s="14" t="s">
        <v>201</v>
      </c>
      <c r="C83" s="14" t="s">
        <v>202</v>
      </c>
      <c r="D83" s="14" t="s">
        <v>155</v>
      </c>
      <c r="E83" s="18"/>
      <c r="F83" s="18"/>
      <c r="G83" s="18"/>
      <c r="H83" s="15">
        <v>90.43</v>
      </c>
      <c r="I83" s="18"/>
      <c r="J83" s="18"/>
      <c r="K83" s="16">
        <f>IF(COUNT(E83:J83)=0,"",MIN(E83:J83))</f>
      </c>
      <c r="L83" s="16">
        <f>IF(COUNT(E83:J83)=0,"",MAX(E83:J83))</f>
      </c>
      <c r="M83" s="14">
        <f>COUNT(E83:J83)</f>
      </c>
      <c r="N83" s="17">
        <f>IF(COUNT(E83:J83)=0,"",MEDIAN(E83:J83))</f>
      </c>
      <c r="O83" s="18"/>
      <c r="P83" s="19">
        <f>IF(OR(O83="",N83=""),"",1-O83/N83)</f>
      </c>
      <c r="Q83" s="14" t="s">
        <v>2</v>
      </c>
      <c r="R83" s="13"/>
      <c r="S83" s="6"/>
      <c r="T83" s="11">
        <f>IF(R83&lt;&gt;"",R83/(1-IF(S83&lt;&gt;"",S83,$E$3)),IF(N83="","",N83*(1+$B$3)))</f>
      </c>
    </row>
    <row r="84" spans="1:20" x14ac:dyDescent="0.25">
      <c r="A84" s="14" t="s">
        <v>200</v>
      </c>
      <c r="B84" s="14" t="s">
        <v>203</v>
      </c>
      <c r="C84" s="14" t="s">
        <v>204</v>
      </c>
      <c r="D84" s="14" t="s">
        <v>155</v>
      </c>
      <c r="E84" s="18"/>
      <c r="F84" s="18"/>
      <c r="G84" s="18"/>
      <c r="H84" s="15">
        <v>92.33</v>
      </c>
      <c r="I84" s="18"/>
      <c r="J84" s="18"/>
      <c r="K84" s="16">
        <f>IF(COUNT(E84:J84)=0,"",MIN(E84:J84))</f>
      </c>
      <c r="L84" s="16">
        <f>IF(COUNT(E84:J84)=0,"",MAX(E84:J84))</f>
      </c>
      <c r="M84" s="14">
        <f>COUNT(E84:J84)</f>
      </c>
      <c r="N84" s="17">
        <f>IF(COUNT(E84:J84)=0,"",MEDIAN(E84:J84))</f>
      </c>
      <c r="O84" s="18"/>
      <c r="P84" s="19">
        <f>IF(OR(O84="",N84=""),"",1-O84/N84)</f>
      </c>
      <c r="Q84" s="14" t="s">
        <v>2</v>
      </c>
      <c r="R84" s="13"/>
      <c r="S84" s="6"/>
      <c r="T84" s="11">
        <f>IF(R84&lt;&gt;"",R84/(1-IF(S84&lt;&gt;"",S84,$E$3)),IF(N84="","",N84*(1+$B$3)))</f>
      </c>
    </row>
    <row r="85" spans="1:20" x14ac:dyDescent="0.25">
      <c r="A85" s="14" t="s">
        <v>200</v>
      </c>
      <c r="B85" s="14" t="s">
        <v>205</v>
      </c>
      <c r="C85" s="14" t="s">
        <v>154</v>
      </c>
      <c r="D85" s="14" t="s">
        <v>155</v>
      </c>
      <c r="E85" s="18"/>
      <c r="F85" s="15">
        <v>11.25</v>
      </c>
      <c r="G85" s="15">
        <v>11.25</v>
      </c>
      <c r="H85" s="18"/>
      <c r="I85" s="18"/>
      <c r="J85" s="18"/>
      <c r="K85" s="16">
        <f>IF(COUNT(E85:J85)=0,"",MIN(E85:J85))</f>
      </c>
      <c r="L85" s="16">
        <f>IF(COUNT(E85:J85)=0,"",MAX(E85:J85))</f>
      </c>
      <c r="M85" s="14">
        <f>COUNT(E85:J85)</f>
      </c>
      <c r="N85" s="17">
        <f>IF(COUNT(E85:J85)=0,"",MEDIAN(E85:J85))</f>
      </c>
      <c r="O85" s="18"/>
      <c r="P85" s="19">
        <f>IF(OR(O85="",N85=""),"",1-O85/N85)</f>
      </c>
      <c r="Q85" s="14" t="s">
        <v>2</v>
      </c>
      <c r="R85" s="13"/>
      <c r="S85" s="6"/>
      <c r="T85" s="11">
        <f>IF(R85&lt;&gt;"",R85/(1-IF(S85&lt;&gt;"",S85,$E$3)),IF(N85="","",N85*(1+$B$3)))</f>
      </c>
    </row>
    <row r="86" spans="1:20" x14ac:dyDescent="0.25">
      <c r="A86" s="14" t="s">
        <v>200</v>
      </c>
      <c r="B86" s="14" t="s">
        <v>205</v>
      </c>
      <c r="C86" s="14" t="s">
        <v>206</v>
      </c>
      <c r="D86" s="14" t="s">
        <v>2</v>
      </c>
      <c r="E86" s="18"/>
      <c r="F86" s="18"/>
      <c r="G86" s="18"/>
      <c r="H86" s="18"/>
      <c r="I86" s="15">
        <v>11.25</v>
      </c>
      <c r="J86" s="18"/>
      <c r="K86" s="16">
        <f>IF(COUNT(E86:J86)=0,"",MIN(E86:J86))</f>
      </c>
      <c r="L86" s="16">
        <f>IF(COUNT(E86:J86)=0,"",MAX(E86:J86))</f>
      </c>
      <c r="M86" s="14">
        <f>COUNT(E86:J86)</f>
      </c>
      <c r="N86" s="17">
        <f>IF(COUNT(E86:J86)=0,"",MEDIAN(E86:J86))</f>
      </c>
      <c r="O86" s="18"/>
      <c r="P86" s="19">
        <f>IF(OR(O86="",N86=""),"",1-O86/N86)</f>
      </c>
      <c r="Q86" s="14" t="s">
        <v>2</v>
      </c>
      <c r="R86" s="13"/>
      <c r="S86" s="6"/>
      <c r="T86" s="11">
        <f>IF(R86&lt;&gt;"",R86/(1-IF(S86&lt;&gt;"",S86,$E$3)),IF(N86="","",N86*(1+$B$3)))</f>
      </c>
    </row>
    <row r="87" spans="1:20" x14ac:dyDescent="0.25">
      <c r="A87" s="14" t="s">
        <v>200</v>
      </c>
      <c r="B87" s="14" t="s">
        <v>207</v>
      </c>
      <c r="C87" s="14" t="s">
        <v>208</v>
      </c>
      <c r="D87" s="14" t="s">
        <v>155</v>
      </c>
      <c r="E87" s="18"/>
      <c r="F87" s="18"/>
      <c r="G87" s="15">
        <v>86.09</v>
      </c>
      <c r="H87" s="18"/>
      <c r="I87" s="18"/>
      <c r="J87" s="18"/>
      <c r="K87" s="16">
        <f>IF(COUNT(E87:J87)=0,"",MIN(E87:J87))</f>
      </c>
      <c r="L87" s="16">
        <f>IF(COUNT(E87:J87)=0,"",MAX(E87:J87))</f>
      </c>
      <c r="M87" s="14">
        <f>COUNT(E87:J87)</f>
      </c>
      <c r="N87" s="17">
        <f>IF(COUNT(E87:J87)=0,"",MEDIAN(E87:J87))</f>
      </c>
      <c r="O87" s="15">
        <v>64</v>
      </c>
      <c r="P87" s="19">
        <f>IF(OR(O87="",N87=""),"",1-O87/N87)</f>
      </c>
      <c r="Q87" s="14" t="s">
        <v>209</v>
      </c>
      <c r="R87" s="13"/>
      <c r="S87" s="6"/>
      <c r="T87" s="11">
        <f>IF(R87&lt;&gt;"",R87/(1-IF(S87&lt;&gt;"",S87,$E$3)),IF(N87="","",N87*(1+$B$3)))</f>
      </c>
    </row>
    <row r="88" spans="1:20" x14ac:dyDescent="0.25">
      <c r="A88" s="14" t="s">
        <v>200</v>
      </c>
      <c r="B88" s="14" t="s">
        <v>210</v>
      </c>
      <c r="C88" s="14" t="s">
        <v>211</v>
      </c>
      <c r="D88" s="14" t="s">
        <v>155</v>
      </c>
      <c r="E88" s="18"/>
      <c r="F88" s="18"/>
      <c r="G88" s="18"/>
      <c r="H88" s="18"/>
      <c r="I88" s="18"/>
      <c r="J88" s="15">
        <v>99</v>
      </c>
      <c r="K88" s="16">
        <f>IF(COUNT(E88:J88)=0,"",MIN(E88:J88))</f>
      </c>
      <c r="L88" s="16">
        <f>IF(COUNT(E88:J88)=0,"",MAX(E88:J88))</f>
      </c>
      <c r="M88" s="14">
        <f>COUNT(E88:J88)</f>
      </c>
      <c r="N88" s="17">
        <f>IF(COUNT(E88:J88)=0,"",MEDIAN(E88:J88))</f>
      </c>
      <c r="O88" s="15">
        <v>64</v>
      </c>
      <c r="P88" s="19">
        <f>IF(OR(O88="",N88=""),"",1-O88/N88)</f>
      </c>
      <c r="Q88" s="14" t="s">
        <v>209</v>
      </c>
      <c r="R88" s="13"/>
      <c r="S88" s="6"/>
      <c r="T88" s="11">
        <f>IF(R88&lt;&gt;"",R88/(1-IF(S88&lt;&gt;"",S88,$E$3)),IF(N88="","",N88*(1+$B$3)))</f>
      </c>
    </row>
    <row r="89" spans="1:20" x14ac:dyDescent="0.25">
      <c r="A89" s="14" t="s">
        <v>200</v>
      </c>
      <c r="B89" s="14" t="s">
        <v>212</v>
      </c>
      <c r="C89" s="14" t="s">
        <v>189</v>
      </c>
      <c r="D89" s="14" t="s">
        <v>155</v>
      </c>
      <c r="E89" s="18"/>
      <c r="F89" s="18"/>
      <c r="G89" s="18"/>
      <c r="H89" s="18"/>
      <c r="I89" s="18"/>
      <c r="J89" s="15">
        <v>65</v>
      </c>
      <c r="K89" s="16">
        <f>IF(COUNT(E89:J89)=0,"",MIN(E89:J89))</f>
      </c>
      <c r="L89" s="16">
        <f>IF(COUNT(E89:J89)=0,"",MAX(E89:J89))</f>
      </c>
      <c r="M89" s="14">
        <f>COUNT(E89:J89)</f>
      </c>
      <c r="N89" s="17">
        <f>IF(COUNT(E89:J89)=0,"",MEDIAN(E89:J89))</f>
      </c>
      <c r="O89" s="15">
        <v>52</v>
      </c>
      <c r="P89" s="19">
        <f>IF(OR(O89="",N89=""),"",1-O89/N89)</f>
      </c>
      <c r="Q89" s="14" t="s">
        <v>190</v>
      </c>
      <c r="R89" s="13"/>
      <c r="S89" s="6"/>
      <c r="T89" s="11">
        <f>IF(R89&lt;&gt;"",R89/(1-IF(S89&lt;&gt;"",S89,$E$3)),IF(N89="","",N89*(1+$B$3)))</f>
      </c>
    </row>
    <row r="90" spans="1:20" x14ac:dyDescent="0.25">
      <c r="A90" s="14" t="s">
        <v>200</v>
      </c>
      <c r="B90" s="14" t="s">
        <v>213</v>
      </c>
      <c r="C90" s="14" t="s">
        <v>168</v>
      </c>
      <c r="D90" s="14" t="s">
        <v>155</v>
      </c>
      <c r="E90" s="18"/>
      <c r="F90" s="15">
        <v>54</v>
      </c>
      <c r="G90" s="18"/>
      <c r="H90" s="18"/>
      <c r="I90" s="15">
        <v>54</v>
      </c>
      <c r="J90" s="18"/>
      <c r="K90" s="16">
        <f>IF(COUNT(E90:J90)=0,"",MIN(E90:J90))</f>
      </c>
      <c r="L90" s="16">
        <f>IF(COUNT(E90:J90)=0,"",MAX(E90:J90))</f>
      </c>
      <c r="M90" s="14">
        <f>COUNT(E90:J90)</f>
      </c>
      <c r="N90" s="17">
        <f>IF(COUNT(E90:J90)=0,"",MEDIAN(E90:J90))</f>
      </c>
      <c r="O90" s="15">
        <v>42</v>
      </c>
      <c r="P90" s="19">
        <f>IF(OR(O90="",N90=""),"",1-O90/N90)</f>
      </c>
      <c r="Q90" s="14" t="s">
        <v>166</v>
      </c>
      <c r="R90" s="13"/>
      <c r="S90" s="6"/>
      <c r="T90" s="11">
        <f>IF(R90&lt;&gt;"",R90/(1-IF(S90&lt;&gt;"",S90,$E$3)),IF(N90="","",N90*(1+$B$3)))</f>
      </c>
    </row>
    <row r="91" spans="1:20" x14ac:dyDescent="0.25">
      <c r="A91" s="14" t="s">
        <v>200</v>
      </c>
      <c r="B91" s="14" t="s">
        <v>214</v>
      </c>
      <c r="C91" s="14" t="s">
        <v>192</v>
      </c>
      <c r="D91" s="14" t="s">
        <v>155</v>
      </c>
      <c r="E91" s="15">
        <v>61</v>
      </c>
      <c r="F91" s="18"/>
      <c r="G91" s="18"/>
      <c r="H91" s="18"/>
      <c r="I91" s="18"/>
      <c r="J91" s="18"/>
      <c r="K91" s="16">
        <f>IF(COUNT(E91:J91)=0,"",MIN(E91:J91))</f>
      </c>
      <c r="L91" s="16">
        <f>IF(COUNT(E91:J91)=0,"",MAX(E91:J91))</f>
      </c>
      <c r="M91" s="14">
        <f>COUNT(E91:J91)</f>
      </c>
      <c r="N91" s="17">
        <f>IF(COUNT(E91:J91)=0,"",MEDIAN(E91:J91))</f>
      </c>
      <c r="O91" s="15">
        <v>52</v>
      </c>
      <c r="P91" s="19">
        <f>IF(OR(O91="",N91=""),"",1-O91/N91)</f>
      </c>
      <c r="Q91" s="14" t="s">
        <v>190</v>
      </c>
      <c r="R91" s="13"/>
      <c r="S91" s="6"/>
      <c r="T91" s="11">
        <f>IF(R91&lt;&gt;"",R91/(1-IF(S91&lt;&gt;"",S91,$E$3)),IF(N91="","",N91*(1+$B$3)))</f>
      </c>
    </row>
    <row r="92" spans="1:20" x14ac:dyDescent="0.25">
      <c r="A92" s="14" t="s">
        <v>200</v>
      </c>
      <c r="B92" s="14" t="s">
        <v>214</v>
      </c>
      <c r="C92" s="14" t="s">
        <v>215</v>
      </c>
      <c r="D92" s="14" t="s">
        <v>2</v>
      </c>
      <c r="E92" s="18"/>
      <c r="F92" s="18"/>
      <c r="G92" s="18"/>
      <c r="H92" s="15">
        <v>72.25</v>
      </c>
      <c r="I92" s="18"/>
      <c r="J92" s="18"/>
      <c r="K92" s="16">
        <f>IF(COUNT(E92:J92)=0,"",MIN(E92:J92))</f>
      </c>
      <c r="L92" s="16">
        <f>IF(COUNT(E92:J92)=0,"",MAX(E92:J92))</f>
      </c>
      <c r="M92" s="14">
        <f>COUNT(E92:J92)</f>
      </c>
      <c r="N92" s="17">
        <f>IF(COUNT(E92:J92)=0,"",MEDIAN(E92:J92))</f>
      </c>
      <c r="O92" s="15">
        <v>64</v>
      </c>
      <c r="P92" s="19">
        <f>IF(OR(O92="",N92=""),"",1-O92/N92)</f>
      </c>
      <c r="Q92" s="14" t="s">
        <v>209</v>
      </c>
      <c r="R92" s="13"/>
      <c r="S92" s="6"/>
      <c r="T92" s="11">
        <f>IF(R92&lt;&gt;"",R92/(1-IF(S92&lt;&gt;"",S92,$E$3)),IF(N92="","",N92*(1+$B$3)))</f>
      </c>
    </row>
    <row r="93" spans="1:20" x14ac:dyDescent="0.25">
      <c r="A93" s="14" t="s">
        <v>200</v>
      </c>
      <c r="B93" s="14" t="s">
        <v>216</v>
      </c>
      <c r="C93" s="14" t="s">
        <v>217</v>
      </c>
      <c r="D93" s="14" t="s">
        <v>155</v>
      </c>
      <c r="E93" s="18"/>
      <c r="F93" s="15">
        <v>95.42</v>
      </c>
      <c r="G93" s="15">
        <v>95.42</v>
      </c>
      <c r="H93" s="15">
        <v>95.42</v>
      </c>
      <c r="I93" s="15">
        <v>95.42</v>
      </c>
      <c r="J93" s="15">
        <v>95.42</v>
      </c>
      <c r="K93" s="16">
        <f>IF(COUNT(E93:J93)=0,"",MIN(E93:J93))</f>
      </c>
      <c r="L93" s="16">
        <f>IF(COUNT(E93:J93)=0,"",MAX(E93:J93))</f>
      </c>
      <c r="M93" s="14">
        <f>COUNT(E93:J93)</f>
      </c>
      <c r="N93" s="17">
        <f>IF(COUNT(E93:J93)=0,"",MEDIAN(E93:J93))</f>
      </c>
      <c r="O93" s="18"/>
      <c r="P93" s="19">
        <f>IF(OR(O93="",N93=""),"",1-O93/N93)</f>
      </c>
      <c r="Q93" s="14" t="s">
        <v>2</v>
      </c>
      <c r="R93" s="13"/>
      <c r="S93" s="6"/>
      <c r="T93" s="11">
        <f>IF(R93&lt;&gt;"",R93/(1-IF(S93&lt;&gt;"",S93,$E$3)),IF(N93="","",N93*(1+$B$3)))</f>
      </c>
    </row>
    <row r="94" spans="1:20" x14ac:dyDescent="0.25">
      <c r="A94" s="5" t="s">
        <v>218</v>
      </c>
      <c r="B94" s="5" t="s">
        <v>219</v>
      </c>
      <c r="C94" s="5" t="s">
        <v>220</v>
      </c>
      <c r="D94" s="5" t="s">
        <v>2</v>
      </c>
      <c r="E94" s="8"/>
      <c r="F94" s="8"/>
      <c r="G94" s="8"/>
      <c r="H94" s="9">
        <v>42.32</v>
      </c>
      <c r="I94" s="8"/>
      <c r="J94" s="8"/>
      <c r="K94" s="10">
        <f>IF(COUNT(E94:J94)=0,"",MIN(E94:J94))</f>
      </c>
      <c r="L94" s="10">
        <f>IF(COUNT(E94:J94)=0,"",MAX(E94:J94))</f>
      </c>
      <c r="M94" s="5">
        <f>COUNT(E94:J94)</f>
      </c>
      <c r="N94" s="11">
        <f>IF(COUNT(E94:J94)=0,"",MEDIAN(E94:J94))</f>
      </c>
      <c r="O94" s="8"/>
      <c r="P94" s="12">
        <f>IF(OR(O94="",N94=""),"",1-O94/N94)</f>
      </c>
      <c r="Q94" s="5" t="s">
        <v>2</v>
      </c>
      <c r="R94" s="13"/>
      <c r="S94" s="6"/>
      <c r="T94" s="11">
        <f>IF(R94&lt;&gt;"",R94/(1-IF(S94&lt;&gt;"",S94,$E$3)),IF(N94="","",N94*(1+$B$3)))</f>
      </c>
    </row>
    <row r="95" spans="1:20" x14ac:dyDescent="0.25">
      <c r="A95" s="5" t="s">
        <v>218</v>
      </c>
      <c r="B95" s="5" t="s">
        <v>221</v>
      </c>
      <c r="C95" s="5" t="s">
        <v>222</v>
      </c>
      <c r="D95" s="5" t="s">
        <v>2</v>
      </c>
      <c r="E95" s="8"/>
      <c r="F95" s="8"/>
      <c r="G95" s="8"/>
      <c r="H95" s="9">
        <v>36.6</v>
      </c>
      <c r="I95" s="8"/>
      <c r="J95" s="8"/>
      <c r="K95" s="10">
        <f>IF(COUNT(E95:J95)=0,"",MIN(E95:J95))</f>
      </c>
      <c r="L95" s="10">
        <f>IF(COUNT(E95:J95)=0,"",MAX(E95:J95))</f>
      </c>
      <c r="M95" s="5">
        <f>COUNT(E95:J95)</f>
      </c>
      <c r="N95" s="11">
        <f>IF(COUNT(E95:J95)=0,"",MEDIAN(E95:J95))</f>
      </c>
      <c r="O95" s="8"/>
      <c r="P95" s="12">
        <f>IF(OR(O95="",N95=""),"",1-O95/N95)</f>
      </c>
      <c r="Q95" s="5" t="s">
        <v>2</v>
      </c>
      <c r="R95" s="13"/>
      <c r="S95" s="6"/>
      <c r="T95" s="11">
        <f>IF(R95&lt;&gt;"",R95/(1-IF(S95&lt;&gt;"",S95,$E$3)),IF(N95="","",N95*(1+$B$3)))</f>
      </c>
    </row>
    <row r="96" spans="1:20" x14ac:dyDescent="0.25">
      <c r="A96" s="5" t="s">
        <v>218</v>
      </c>
      <c r="B96" s="5" t="s">
        <v>223</v>
      </c>
      <c r="C96" s="5" t="s">
        <v>224</v>
      </c>
      <c r="D96" s="5" t="s">
        <v>2</v>
      </c>
      <c r="E96" s="8"/>
      <c r="F96" s="8"/>
      <c r="G96" s="8"/>
      <c r="H96" s="9">
        <v>36.6</v>
      </c>
      <c r="I96" s="8"/>
      <c r="J96" s="8"/>
      <c r="K96" s="10">
        <f>IF(COUNT(E96:J96)=0,"",MIN(E96:J96))</f>
      </c>
      <c r="L96" s="10">
        <f>IF(COUNT(E96:J96)=0,"",MAX(E96:J96))</f>
      </c>
      <c r="M96" s="5">
        <f>COUNT(E96:J96)</f>
      </c>
      <c r="N96" s="11">
        <f>IF(COUNT(E96:J96)=0,"",MEDIAN(E96:J96))</f>
      </c>
      <c r="O96" s="8"/>
      <c r="P96" s="12">
        <f>IF(OR(O96="",N96=""),"",1-O96/N96)</f>
      </c>
      <c r="Q96" s="5" t="s">
        <v>2</v>
      </c>
      <c r="R96" s="13"/>
      <c r="S96" s="6"/>
      <c r="T96" s="11">
        <f>IF(R96&lt;&gt;"",R96/(1-IF(S96&lt;&gt;"",S96,$E$3)),IF(N96="","",N96*(1+$B$3)))</f>
      </c>
    </row>
    <row r="97" spans="1:20" x14ac:dyDescent="0.25">
      <c r="A97" s="5" t="s">
        <v>218</v>
      </c>
      <c r="B97" s="5" t="s">
        <v>225</v>
      </c>
      <c r="C97" s="5" t="s">
        <v>226</v>
      </c>
      <c r="D97" s="5" t="s">
        <v>2</v>
      </c>
      <c r="E97" s="8"/>
      <c r="F97" s="8"/>
      <c r="G97" s="8"/>
      <c r="H97" s="9">
        <v>47.8</v>
      </c>
      <c r="I97" s="8"/>
      <c r="J97" s="8"/>
      <c r="K97" s="10">
        <f>IF(COUNT(E97:J97)=0,"",MIN(E97:J97))</f>
      </c>
      <c r="L97" s="10">
        <f>IF(COUNT(E97:J97)=0,"",MAX(E97:J97))</f>
      </c>
      <c r="M97" s="5">
        <f>COUNT(E97:J97)</f>
      </c>
      <c r="N97" s="11">
        <f>IF(COUNT(E97:J97)=0,"",MEDIAN(E97:J97))</f>
      </c>
      <c r="O97" s="8"/>
      <c r="P97" s="12">
        <f>IF(OR(O97="",N97=""),"",1-O97/N97)</f>
      </c>
      <c r="Q97" s="5" t="s">
        <v>2</v>
      </c>
      <c r="R97" s="13"/>
      <c r="S97" s="6"/>
      <c r="T97" s="11">
        <f>IF(R97&lt;&gt;"",R97/(1-IF(S97&lt;&gt;"",S97,$E$3)),IF(N97="","",N97*(1+$B$3)))</f>
      </c>
    </row>
    <row r="98" spans="1:20" x14ac:dyDescent="0.25">
      <c r="A98" s="5" t="s">
        <v>218</v>
      </c>
      <c r="B98" s="5" t="s">
        <v>227</v>
      </c>
      <c r="C98" s="5" t="s">
        <v>228</v>
      </c>
      <c r="D98" s="5" t="s">
        <v>229</v>
      </c>
      <c r="E98" s="8"/>
      <c r="F98" s="9">
        <v>1.77</v>
      </c>
      <c r="G98" s="9">
        <v>1.77</v>
      </c>
      <c r="H98" s="8"/>
      <c r="I98" s="8"/>
      <c r="J98" s="8"/>
      <c r="K98" s="10">
        <f>IF(COUNT(E98:J98)=0,"",MIN(E98:J98))</f>
      </c>
      <c r="L98" s="10">
        <f>IF(COUNT(E98:J98)=0,"",MAX(E98:J98))</f>
      </c>
      <c r="M98" s="5">
        <f>COUNT(E98:J98)</f>
      </c>
      <c r="N98" s="11">
        <f>IF(COUNT(E98:J98)=0,"",MEDIAN(E98:J98))</f>
      </c>
      <c r="O98" s="8"/>
      <c r="P98" s="12">
        <f>IF(OR(O98="",N98=""),"",1-O98/N98)</f>
      </c>
      <c r="Q98" s="5" t="s">
        <v>2</v>
      </c>
      <c r="R98" s="13"/>
      <c r="S98" s="6"/>
      <c r="T98" s="11">
        <f>IF(R98&lt;&gt;"",R98/(1-IF(S98&lt;&gt;"",S98,$E$3)),IF(N98="","",N98*(1+$B$3)))</f>
      </c>
    </row>
    <row r="99" spans="1:20" x14ac:dyDescent="0.25">
      <c r="A99" s="5" t="s">
        <v>218</v>
      </c>
      <c r="B99" s="5" t="s">
        <v>230</v>
      </c>
      <c r="C99" s="5" t="s">
        <v>231</v>
      </c>
      <c r="D99" s="5" t="s">
        <v>229</v>
      </c>
      <c r="E99" s="8"/>
      <c r="F99" s="9">
        <v>2.44</v>
      </c>
      <c r="G99" s="9">
        <v>2.44</v>
      </c>
      <c r="H99" s="8"/>
      <c r="I99" s="8"/>
      <c r="J99" s="8"/>
      <c r="K99" s="10">
        <f>IF(COUNT(E99:J99)=0,"",MIN(E99:J99))</f>
      </c>
      <c r="L99" s="10">
        <f>IF(COUNT(E99:J99)=0,"",MAX(E99:J99))</f>
      </c>
      <c r="M99" s="5">
        <f>COUNT(E99:J99)</f>
      </c>
      <c r="N99" s="11">
        <f>IF(COUNT(E99:J99)=0,"",MEDIAN(E99:J99))</f>
      </c>
      <c r="O99" s="8"/>
      <c r="P99" s="12">
        <f>IF(OR(O99="",N99=""),"",1-O99/N99)</f>
      </c>
      <c r="Q99" s="5" t="s">
        <v>2</v>
      </c>
      <c r="R99" s="13"/>
      <c r="S99" s="6"/>
      <c r="T99" s="11">
        <f>IF(R99&lt;&gt;"",R99/(1-IF(S99&lt;&gt;"",S99,$E$3)),IF(N99="","",N99*(1+$B$3)))</f>
      </c>
    </row>
    <row r="100" spans="1:20" x14ac:dyDescent="0.25">
      <c r="A100" s="5" t="s">
        <v>218</v>
      </c>
      <c r="B100" s="5" t="s">
        <v>232</v>
      </c>
      <c r="C100" s="5" t="s">
        <v>233</v>
      </c>
      <c r="D100" s="5" t="s">
        <v>2</v>
      </c>
      <c r="E100" s="8"/>
      <c r="F100" s="8"/>
      <c r="G100" s="8"/>
      <c r="H100" s="9">
        <v>42.32</v>
      </c>
      <c r="I100" s="8"/>
      <c r="J100" s="8"/>
      <c r="K100" s="10">
        <f>IF(COUNT(E100:J100)=0,"",MIN(E100:J100))</f>
      </c>
      <c r="L100" s="10">
        <f>IF(COUNT(E100:J100)=0,"",MAX(E100:J100))</f>
      </c>
      <c r="M100" s="5">
        <f>COUNT(E100:J100)</f>
      </c>
      <c r="N100" s="11">
        <f>IF(COUNT(E100:J100)=0,"",MEDIAN(E100:J100))</f>
      </c>
      <c r="O100" s="8"/>
      <c r="P100" s="12">
        <f>IF(OR(O100="",N100=""),"",1-O100/N100)</f>
      </c>
      <c r="Q100" s="5" t="s">
        <v>2</v>
      </c>
      <c r="R100" s="13"/>
      <c r="S100" s="6"/>
      <c r="T100" s="11">
        <f>IF(R100&lt;&gt;"",R100/(1-IF(S100&lt;&gt;"",S100,$E$3)),IF(N100="","",N100*(1+$B$3)))</f>
      </c>
    </row>
    <row r="101" spans="1:20" x14ac:dyDescent="0.25">
      <c r="A101" s="5" t="s">
        <v>218</v>
      </c>
      <c r="B101" s="5" t="s">
        <v>234</v>
      </c>
      <c r="C101" s="5" t="s">
        <v>235</v>
      </c>
      <c r="D101" s="5" t="s">
        <v>85</v>
      </c>
      <c r="E101" s="9">
        <v>47.82</v>
      </c>
      <c r="F101" s="9">
        <v>47.82</v>
      </c>
      <c r="G101" s="9">
        <v>47.82</v>
      </c>
      <c r="H101" s="8"/>
      <c r="I101" s="9">
        <v>47.82</v>
      </c>
      <c r="J101" s="8"/>
      <c r="K101" s="10">
        <f>IF(COUNT(E101:J101)=0,"",MIN(E101:J101))</f>
      </c>
      <c r="L101" s="10">
        <f>IF(COUNT(E101:J101)=0,"",MAX(E101:J101))</f>
      </c>
      <c r="M101" s="5">
        <f>COUNT(E101:J101)</f>
      </c>
      <c r="N101" s="11">
        <f>IF(COUNT(E101:J101)=0,"",MEDIAN(E101:J101))</f>
      </c>
      <c r="O101" s="8"/>
      <c r="P101" s="12">
        <f>IF(OR(O101="",N101=""),"",1-O101/N101)</f>
      </c>
      <c r="Q101" s="5" t="s">
        <v>2</v>
      </c>
      <c r="R101" s="13"/>
      <c r="S101" s="6"/>
      <c r="T101" s="11">
        <f>IF(R101&lt;&gt;"",R101/(1-IF(S101&lt;&gt;"",S101,$E$3)),IF(N101="","",N101*(1+$B$3)))</f>
      </c>
    </row>
    <row r="102" spans="1:20" x14ac:dyDescent="0.25">
      <c r="A102" s="5" t="s">
        <v>218</v>
      </c>
      <c r="B102" s="5" t="s">
        <v>236</v>
      </c>
      <c r="C102" s="5" t="s">
        <v>237</v>
      </c>
      <c r="D102" s="5" t="s">
        <v>85</v>
      </c>
      <c r="E102" s="8"/>
      <c r="F102" s="8"/>
      <c r="G102" s="8"/>
      <c r="H102" s="9">
        <v>124.9</v>
      </c>
      <c r="I102" s="8"/>
      <c r="J102" s="8"/>
      <c r="K102" s="10">
        <f>IF(COUNT(E102:J102)=0,"",MIN(E102:J102))</f>
      </c>
      <c r="L102" s="10">
        <f>IF(COUNT(E102:J102)=0,"",MAX(E102:J102))</f>
      </c>
      <c r="M102" s="5">
        <f>COUNT(E102:J102)</f>
      </c>
      <c r="N102" s="11">
        <f>IF(COUNT(E102:J102)=0,"",MEDIAN(E102:J102))</f>
      </c>
      <c r="O102" s="8"/>
      <c r="P102" s="12">
        <f>IF(OR(O102="",N102=""),"",1-O102/N102)</f>
      </c>
      <c r="Q102" s="5" t="s">
        <v>2</v>
      </c>
      <c r="R102" s="13"/>
      <c r="S102" s="6"/>
      <c r="T102" s="11">
        <f>IF(R102&lt;&gt;"",R102/(1-IF(S102&lt;&gt;"",S102,$E$3)),IF(N102="","",N102*(1+$B$3)))</f>
      </c>
    </row>
    <row r="103" spans="1:20" x14ac:dyDescent="0.25">
      <c r="A103" s="5" t="s">
        <v>218</v>
      </c>
      <c r="B103" s="5" t="s">
        <v>238</v>
      </c>
      <c r="C103" s="5" t="s">
        <v>239</v>
      </c>
      <c r="D103" s="5" t="s">
        <v>85</v>
      </c>
      <c r="E103" s="9">
        <v>50</v>
      </c>
      <c r="F103" s="9">
        <v>47.82</v>
      </c>
      <c r="G103" s="9">
        <v>47.82</v>
      </c>
      <c r="H103" s="8"/>
      <c r="I103" s="8"/>
      <c r="J103" s="8"/>
      <c r="K103" s="10">
        <f>IF(COUNT(E103:J103)=0,"",MIN(E103:J103))</f>
      </c>
      <c r="L103" s="10">
        <f>IF(COUNT(E103:J103)=0,"",MAX(E103:J103))</f>
      </c>
      <c r="M103" s="5">
        <f>COUNT(E103:J103)</f>
      </c>
      <c r="N103" s="11">
        <f>IF(COUNT(E103:J103)=0,"",MEDIAN(E103:J103))</f>
      </c>
      <c r="O103" s="8"/>
      <c r="P103" s="12">
        <f>IF(OR(O103="",N103=""),"",1-O103/N103)</f>
      </c>
      <c r="Q103" s="5" t="s">
        <v>2</v>
      </c>
      <c r="R103" s="13"/>
      <c r="S103" s="6"/>
      <c r="T103" s="11">
        <f>IF(R103&lt;&gt;"",R103/(1-IF(S103&lt;&gt;"",S103,$E$3)),IF(N103="","",N103*(1+$B$3)))</f>
      </c>
    </row>
    <row r="104" spans="1:20" x14ac:dyDescent="0.25">
      <c r="A104" s="5" t="s">
        <v>218</v>
      </c>
      <c r="B104" s="5" t="s">
        <v>238</v>
      </c>
      <c r="C104" s="5" t="s">
        <v>240</v>
      </c>
      <c r="D104" s="5" t="s">
        <v>85</v>
      </c>
      <c r="E104" s="8"/>
      <c r="F104" s="8"/>
      <c r="G104" s="8"/>
      <c r="H104" s="9">
        <v>15.1</v>
      </c>
      <c r="I104" s="8"/>
      <c r="J104" s="8"/>
      <c r="K104" s="10">
        <f>IF(COUNT(E104:J104)=0,"",MIN(E104:J104))</f>
      </c>
      <c r="L104" s="10">
        <f>IF(COUNT(E104:J104)=0,"",MAX(E104:J104))</f>
      </c>
      <c r="M104" s="5">
        <f>COUNT(E104:J104)</f>
      </c>
      <c r="N104" s="11">
        <f>IF(COUNT(E104:J104)=0,"",MEDIAN(E104:J104))</f>
      </c>
      <c r="O104" s="8"/>
      <c r="P104" s="12">
        <f>IF(OR(O104="",N104=""),"",1-O104/N104)</f>
      </c>
      <c r="Q104" s="5" t="s">
        <v>2</v>
      </c>
      <c r="R104" s="13"/>
      <c r="S104" s="6"/>
      <c r="T104" s="11">
        <f>IF(R104&lt;&gt;"",R104/(1-IF(S104&lt;&gt;"",S104,$E$3)),IF(N104="","",N104*(1+$B$3)))</f>
      </c>
    </row>
    <row r="105" spans="1:20" x14ac:dyDescent="0.25">
      <c r="A105" s="5" t="s">
        <v>218</v>
      </c>
      <c r="B105" s="5" t="s">
        <v>238</v>
      </c>
      <c r="C105" s="5" t="s">
        <v>241</v>
      </c>
      <c r="D105" s="5" t="s">
        <v>85</v>
      </c>
      <c r="E105" s="8"/>
      <c r="F105" s="8"/>
      <c r="G105" s="8"/>
      <c r="H105" s="8"/>
      <c r="I105" s="8"/>
      <c r="J105" s="9">
        <v>19.36</v>
      </c>
      <c r="K105" s="10">
        <f>IF(COUNT(E105:J105)=0,"",MIN(E105:J105))</f>
      </c>
      <c r="L105" s="10">
        <f>IF(COUNT(E105:J105)=0,"",MAX(E105:J105))</f>
      </c>
      <c r="M105" s="5">
        <f>COUNT(E105:J105)</f>
      </c>
      <c r="N105" s="11">
        <f>IF(COUNT(E105:J105)=0,"",MEDIAN(E105:J105))</f>
      </c>
      <c r="O105" s="8"/>
      <c r="P105" s="12">
        <f>IF(OR(O105="",N105=""),"",1-O105/N105)</f>
      </c>
      <c r="Q105" s="5" t="s">
        <v>2</v>
      </c>
      <c r="R105" s="13"/>
      <c r="S105" s="6"/>
      <c r="T105" s="11">
        <f>IF(R105&lt;&gt;"",R105/(1-IF(S105&lt;&gt;"",S105,$E$3)),IF(N105="","",N105*(1+$B$3)))</f>
      </c>
    </row>
    <row r="106" spans="1:20" x14ac:dyDescent="0.25">
      <c r="A106" s="5" t="s">
        <v>218</v>
      </c>
      <c r="B106" s="5" t="s">
        <v>242</v>
      </c>
      <c r="C106" s="5" t="s">
        <v>243</v>
      </c>
      <c r="D106" s="5" t="s">
        <v>85</v>
      </c>
      <c r="E106" s="8"/>
      <c r="F106" s="8"/>
      <c r="G106" s="8"/>
      <c r="H106" s="9">
        <v>114.1</v>
      </c>
      <c r="I106" s="8"/>
      <c r="J106" s="8"/>
      <c r="K106" s="10">
        <f>IF(COUNT(E106:J106)=0,"",MIN(E106:J106))</f>
      </c>
      <c r="L106" s="10">
        <f>IF(COUNT(E106:J106)=0,"",MAX(E106:J106))</f>
      </c>
      <c r="M106" s="5">
        <f>COUNT(E106:J106)</f>
      </c>
      <c r="N106" s="11">
        <f>IF(COUNT(E106:J106)=0,"",MEDIAN(E106:J106))</f>
      </c>
      <c r="O106" s="8"/>
      <c r="P106" s="12">
        <f>IF(OR(O106="",N106=""),"",1-O106/N106)</f>
      </c>
      <c r="Q106" s="5" t="s">
        <v>2</v>
      </c>
      <c r="R106" s="13"/>
      <c r="S106" s="6"/>
      <c r="T106" s="11">
        <f>IF(R106&lt;&gt;"",R106/(1-IF(S106&lt;&gt;"",S106,$E$3)),IF(N106="","",N106*(1+$B$3)))</f>
      </c>
    </row>
    <row r="107" spans="1:20" x14ac:dyDescent="0.25">
      <c r="A107" s="5" t="s">
        <v>218</v>
      </c>
      <c r="B107" s="5" t="s">
        <v>244</v>
      </c>
      <c r="C107" s="5" t="s">
        <v>245</v>
      </c>
      <c r="D107" s="5" t="s">
        <v>85</v>
      </c>
      <c r="E107" s="8"/>
      <c r="F107" s="8"/>
      <c r="G107" s="8"/>
      <c r="H107" s="8"/>
      <c r="I107" s="8"/>
      <c r="J107" s="9">
        <v>35.68</v>
      </c>
      <c r="K107" s="10">
        <f>IF(COUNT(E107:J107)=0,"",MIN(E107:J107))</f>
      </c>
      <c r="L107" s="10">
        <f>IF(COUNT(E107:J107)=0,"",MAX(E107:J107))</f>
      </c>
      <c r="M107" s="5">
        <f>COUNT(E107:J107)</f>
      </c>
      <c r="N107" s="11">
        <f>IF(COUNT(E107:J107)=0,"",MEDIAN(E107:J107))</f>
      </c>
      <c r="O107" s="8"/>
      <c r="P107" s="12">
        <f>IF(OR(O107="",N107=""),"",1-O107/N107)</f>
      </c>
      <c r="Q107" s="5" t="s">
        <v>2</v>
      </c>
      <c r="R107" s="13"/>
      <c r="S107" s="6"/>
      <c r="T107" s="11">
        <f>IF(R107&lt;&gt;"",R107/(1-IF(S107&lt;&gt;"",S107,$E$3)),IF(N107="","",N107*(1+$B$3)))</f>
      </c>
    </row>
    <row r="108" spans="1:20" x14ac:dyDescent="0.25">
      <c r="A108" s="5" t="s">
        <v>218</v>
      </c>
      <c r="B108" s="5" t="s">
        <v>246</v>
      </c>
      <c r="C108" s="5" t="s">
        <v>247</v>
      </c>
      <c r="D108" s="5" t="s">
        <v>85</v>
      </c>
      <c r="E108" s="8"/>
      <c r="F108" s="8"/>
      <c r="G108" s="8"/>
      <c r="H108" s="8"/>
      <c r="I108" s="8"/>
      <c r="J108" s="9">
        <v>43.84</v>
      </c>
      <c r="K108" s="10">
        <f>IF(COUNT(E108:J108)=0,"",MIN(E108:J108))</f>
      </c>
      <c r="L108" s="10">
        <f>IF(COUNT(E108:J108)=0,"",MAX(E108:J108))</f>
      </c>
      <c r="M108" s="5">
        <f>COUNT(E108:J108)</f>
      </c>
      <c r="N108" s="11">
        <f>IF(COUNT(E108:J108)=0,"",MEDIAN(E108:J108))</f>
      </c>
      <c r="O108" s="8"/>
      <c r="P108" s="12">
        <f>IF(OR(O108="",N108=""),"",1-O108/N108)</f>
      </c>
      <c r="Q108" s="5" t="s">
        <v>2</v>
      </c>
      <c r="R108" s="13"/>
      <c r="S108" s="6"/>
      <c r="T108" s="11">
        <f>IF(R108&lt;&gt;"",R108/(1-IF(S108&lt;&gt;"",S108,$E$3)),IF(N108="","",N108*(1+$B$3)))</f>
      </c>
    </row>
    <row r="109" spans="1:20" x14ac:dyDescent="0.25">
      <c r="A109" s="5" t="s">
        <v>218</v>
      </c>
      <c r="B109" s="5" t="s">
        <v>248</v>
      </c>
      <c r="C109" s="5" t="s">
        <v>249</v>
      </c>
      <c r="D109" s="5" t="s">
        <v>85</v>
      </c>
      <c r="E109" s="8"/>
      <c r="F109" s="9">
        <v>37.93</v>
      </c>
      <c r="G109" s="9">
        <v>37.93</v>
      </c>
      <c r="H109" s="8"/>
      <c r="I109" s="9">
        <v>37.93</v>
      </c>
      <c r="J109" s="9">
        <v>37.93</v>
      </c>
      <c r="K109" s="10">
        <f>IF(COUNT(E109:J109)=0,"",MIN(E109:J109))</f>
      </c>
      <c r="L109" s="10">
        <f>IF(COUNT(E109:J109)=0,"",MAX(E109:J109))</f>
      </c>
      <c r="M109" s="5">
        <f>COUNT(E109:J109)</f>
      </c>
      <c r="N109" s="11">
        <f>IF(COUNT(E109:J109)=0,"",MEDIAN(E109:J109))</f>
      </c>
      <c r="O109" s="8"/>
      <c r="P109" s="12">
        <f>IF(OR(O109="",N109=""),"",1-O109/N109)</f>
      </c>
      <c r="Q109" s="5" t="s">
        <v>2</v>
      </c>
      <c r="R109" s="13"/>
      <c r="S109" s="6"/>
      <c r="T109" s="11">
        <f>IF(R109&lt;&gt;"",R109/(1-IF(S109&lt;&gt;"",S109,$E$3)),IF(N109="","",N109*(1+$B$3)))</f>
      </c>
    </row>
    <row r="110" spans="1:20" x14ac:dyDescent="0.25">
      <c r="A110" s="5" t="s">
        <v>218</v>
      </c>
      <c r="B110" s="5" t="s">
        <v>250</v>
      </c>
      <c r="C110" s="5" t="s">
        <v>251</v>
      </c>
      <c r="D110" s="5" t="s">
        <v>178</v>
      </c>
      <c r="E110" s="9">
        <v>28.77</v>
      </c>
      <c r="F110" s="8"/>
      <c r="G110" s="8"/>
      <c r="H110" s="9">
        <v>28.77</v>
      </c>
      <c r="I110" s="8"/>
      <c r="J110" s="8"/>
      <c r="K110" s="10">
        <f>IF(COUNT(E110:J110)=0,"",MIN(E110:J110))</f>
      </c>
      <c r="L110" s="10">
        <f>IF(COUNT(E110:J110)=0,"",MAX(E110:J110))</f>
      </c>
      <c r="M110" s="5">
        <f>COUNT(E110:J110)</f>
      </c>
      <c r="N110" s="11">
        <f>IF(COUNT(E110:J110)=0,"",MEDIAN(E110:J110))</f>
      </c>
      <c r="O110" s="8"/>
      <c r="P110" s="12">
        <f>IF(OR(O110="",N110=""),"",1-O110/N110)</f>
      </c>
      <c r="Q110" s="5" t="s">
        <v>2</v>
      </c>
      <c r="R110" s="13"/>
      <c r="S110" s="6"/>
      <c r="T110" s="11">
        <f>IF(R110&lt;&gt;"",R110/(1-IF(S110&lt;&gt;"",S110,$E$3)),IF(N110="","",N110*(1+$B$3)))</f>
      </c>
    </row>
    <row r="111" spans="1:20" x14ac:dyDescent="0.25">
      <c r="A111" s="5" t="s">
        <v>218</v>
      </c>
      <c r="B111" s="5" t="s">
        <v>252</v>
      </c>
      <c r="C111" s="5" t="s">
        <v>253</v>
      </c>
      <c r="D111" s="5" t="s">
        <v>85</v>
      </c>
      <c r="E111" s="9">
        <v>66.36</v>
      </c>
      <c r="F111" s="9">
        <v>66.36</v>
      </c>
      <c r="G111" s="9">
        <v>66.36</v>
      </c>
      <c r="H111" s="9">
        <v>66.36</v>
      </c>
      <c r="I111" s="9">
        <v>66.36</v>
      </c>
      <c r="J111" s="9">
        <v>66.36</v>
      </c>
      <c r="K111" s="10">
        <f>IF(COUNT(E111:J111)=0,"",MIN(E111:J111))</f>
      </c>
      <c r="L111" s="10">
        <f>IF(COUNT(E111:J111)=0,"",MAX(E111:J111))</f>
      </c>
      <c r="M111" s="5">
        <f>COUNT(E111:J111)</f>
      </c>
      <c r="N111" s="11">
        <f>IF(COUNT(E111:J111)=0,"",MEDIAN(E111:J111))</f>
      </c>
      <c r="O111" s="8"/>
      <c r="P111" s="12">
        <f>IF(OR(O111="",N111=""),"",1-O111/N111)</f>
      </c>
      <c r="Q111" s="5" t="s">
        <v>2</v>
      </c>
      <c r="R111" s="13"/>
      <c r="S111" s="6"/>
      <c r="T111" s="11">
        <f>IF(R111&lt;&gt;"",R111/(1-IF(S111&lt;&gt;"",S111,$E$3)),IF(N111="","",N111*(1+$B$3)))</f>
      </c>
    </row>
    <row r="112" spans="1:20" x14ac:dyDescent="0.25">
      <c r="A112" s="5" t="s">
        <v>218</v>
      </c>
      <c r="B112" s="5" t="s">
        <v>254</v>
      </c>
      <c r="C112" s="5" t="s">
        <v>255</v>
      </c>
      <c r="D112" s="5" t="s">
        <v>85</v>
      </c>
      <c r="E112" s="8"/>
      <c r="F112" s="8"/>
      <c r="G112" s="8"/>
      <c r="H112" s="8"/>
      <c r="I112" s="8"/>
      <c r="J112" s="9">
        <v>0.01</v>
      </c>
      <c r="K112" s="10">
        <f>IF(COUNT(E112:J112)=0,"",MIN(E112:J112))</f>
      </c>
      <c r="L112" s="10">
        <f>IF(COUNT(E112:J112)=0,"",MAX(E112:J112))</f>
      </c>
      <c r="M112" s="5">
        <f>COUNT(E112:J112)</f>
      </c>
      <c r="N112" s="11">
        <f>IF(COUNT(E112:J112)=0,"",MEDIAN(E112:J112))</f>
      </c>
      <c r="O112" s="8"/>
      <c r="P112" s="12">
        <f>IF(OR(O112="",N112=""),"",1-O112/N112)</f>
      </c>
      <c r="Q112" s="5" t="s">
        <v>2</v>
      </c>
      <c r="R112" s="13"/>
      <c r="S112" s="6"/>
      <c r="T112" s="11">
        <f>IF(R112&lt;&gt;"",R112/(1-IF(S112&lt;&gt;"",S112,$E$3)),IF(N112="","",N112*(1+$B$3)))</f>
      </c>
    </row>
    <row r="113" spans="1:20" x14ac:dyDescent="0.25">
      <c r="A113" s="5" t="s">
        <v>218</v>
      </c>
      <c r="B113" s="5" t="s">
        <v>256</v>
      </c>
      <c r="C113" s="5" t="s">
        <v>257</v>
      </c>
      <c r="D113" s="5" t="s">
        <v>178</v>
      </c>
      <c r="E113" s="9">
        <v>28.77</v>
      </c>
      <c r="F113" s="9">
        <v>42</v>
      </c>
      <c r="G113" s="8"/>
      <c r="H113" s="8"/>
      <c r="I113" s="8"/>
      <c r="J113" s="9">
        <v>41.5</v>
      </c>
      <c r="K113" s="10">
        <f>IF(COUNT(E113:J113)=0,"",MIN(E113:J113))</f>
      </c>
      <c r="L113" s="10">
        <f>IF(COUNT(E113:J113)=0,"",MAX(E113:J113))</f>
      </c>
      <c r="M113" s="5">
        <f>COUNT(E113:J113)</f>
      </c>
      <c r="N113" s="11">
        <f>IF(COUNT(E113:J113)=0,"",MEDIAN(E113:J113))</f>
      </c>
      <c r="O113" s="8"/>
      <c r="P113" s="12">
        <f>IF(OR(O113="",N113=""),"",1-O113/N113)</f>
      </c>
      <c r="Q113" s="5" t="s">
        <v>2</v>
      </c>
      <c r="R113" s="13"/>
      <c r="S113" s="6"/>
      <c r="T113" s="11">
        <f>IF(R113&lt;&gt;"",R113/(1-IF(S113&lt;&gt;"",S113,$E$3)),IF(N113="","",N113*(1+$B$3)))</f>
      </c>
    </row>
    <row r="114" spans="1:20" x14ac:dyDescent="0.25">
      <c r="A114" s="5" t="s">
        <v>218</v>
      </c>
      <c r="B114" s="5" t="s">
        <v>258</v>
      </c>
      <c r="C114" s="5" t="s">
        <v>259</v>
      </c>
      <c r="D114" s="5" t="s">
        <v>85</v>
      </c>
      <c r="E114" s="9">
        <v>120</v>
      </c>
      <c r="F114" s="9">
        <v>120</v>
      </c>
      <c r="G114" s="9">
        <v>120</v>
      </c>
      <c r="H114" s="9">
        <v>120</v>
      </c>
      <c r="I114" s="8"/>
      <c r="J114" s="8"/>
      <c r="K114" s="10">
        <f>IF(COUNT(E114:J114)=0,"",MIN(E114:J114))</f>
      </c>
      <c r="L114" s="10">
        <f>IF(COUNT(E114:J114)=0,"",MAX(E114:J114))</f>
      </c>
      <c r="M114" s="5">
        <f>COUNT(E114:J114)</f>
      </c>
      <c r="N114" s="11">
        <f>IF(COUNT(E114:J114)=0,"",MEDIAN(E114:J114))</f>
      </c>
      <c r="O114" s="8"/>
      <c r="P114" s="12">
        <f>IF(OR(O114="",N114=""),"",1-O114/N114)</f>
      </c>
      <c r="Q114" s="5" t="s">
        <v>2</v>
      </c>
      <c r="R114" s="13"/>
      <c r="S114" s="6"/>
      <c r="T114" s="11">
        <f>IF(R114&lt;&gt;"",R114/(1-IF(S114&lt;&gt;"",S114,$E$3)),IF(N114="","",N114*(1+$B$3)))</f>
      </c>
    </row>
    <row r="115" spans="1:20" x14ac:dyDescent="0.25">
      <c r="A115" s="5" t="s">
        <v>218</v>
      </c>
      <c r="B115" s="5" t="s">
        <v>260</v>
      </c>
      <c r="C115" s="5" t="s">
        <v>261</v>
      </c>
      <c r="D115" s="5" t="s">
        <v>85</v>
      </c>
      <c r="E115" s="9">
        <v>387.52</v>
      </c>
      <c r="F115" s="9">
        <v>387.52</v>
      </c>
      <c r="G115" s="9">
        <v>387.52</v>
      </c>
      <c r="H115" s="9">
        <v>387.52</v>
      </c>
      <c r="I115" s="9">
        <v>387.52</v>
      </c>
      <c r="J115" s="9">
        <v>387.52</v>
      </c>
      <c r="K115" s="10">
        <f>IF(COUNT(E115:J115)=0,"",MIN(E115:J115))</f>
      </c>
      <c r="L115" s="10">
        <f>IF(COUNT(E115:J115)=0,"",MAX(E115:J115))</f>
      </c>
      <c r="M115" s="5">
        <f>COUNT(E115:J115)</f>
      </c>
      <c r="N115" s="11">
        <f>IF(COUNT(E115:J115)=0,"",MEDIAN(E115:J115))</f>
      </c>
      <c r="O115" s="8"/>
      <c r="P115" s="12">
        <f>IF(OR(O115="",N115=""),"",1-O115/N115)</f>
      </c>
      <c r="Q115" s="5" t="s">
        <v>2</v>
      </c>
      <c r="R115" s="13"/>
      <c r="S115" s="6"/>
      <c r="T115" s="11">
        <f>IF(R115&lt;&gt;"",R115/(1-IF(S115&lt;&gt;"",S115,$E$3)),IF(N115="","",N115*(1+$B$3)))</f>
      </c>
    </row>
    <row r="116" spans="1:20" x14ac:dyDescent="0.25">
      <c r="A116" s="5" t="s">
        <v>218</v>
      </c>
      <c r="B116" s="5" t="s">
        <v>262</v>
      </c>
      <c r="C116" s="5" t="s">
        <v>263</v>
      </c>
      <c r="D116" s="5" t="s">
        <v>31</v>
      </c>
      <c r="E116" s="9">
        <v>3800</v>
      </c>
      <c r="F116" s="8"/>
      <c r="G116" s="8"/>
      <c r="H116" s="8"/>
      <c r="I116" s="8"/>
      <c r="J116" s="8"/>
      <c r="K116" s="10">
        <f>IF(COUNT(E116:J116)=0,"",MIN(E116:J116))</f>
      </c>
      <c r="L116" s="10">
        <f>IF(COUNT(E116:J116)=0,"",MAX(E116:J116))</f>
      </c>
      <c r="M116" s="5">
        <f>COUNT(E116:J116)</f>
      </c>
      <c r="N116" s="11">
        <f>IF(COUNT(E116:J116)=0,"",MEDIAN(E116:J116))</f>
      </c>
      <c r="O116" s="8"/>
      <c r="P116" s="12">
        <f>IF(OR(O116="",N116=""),"",1-O116/N116)</f>
      </c>
      <c r="Q116" s="5" t="s">
        <v>2</v>
      </c>
      <c r="R116" s="13"/>
      <c r="S116" s="6"/>
      <c r="T116" s="11">
        <f>IF(R116&lt;&gt;"",R116/(1-IF(S116&lt;&gt;"",S116,$E$3)),IF(N116="","",N116*(1+$B$3)))</f>
      </c>
    </row>
    <row r="117" spans="1:20" x14ac:dyDescent="0.25">
      <c r="A117" s="5" t="s">
        <v>218</v>
      </c>
      <c r="B117" s="5" t="s">
        <v>262</v>
      </c>
      <c r="C117" s="5" t="s">
        <v>264</v>
      </c>
      <c r="D117" s="5" t="s">
        <v>31</v>
      </c>
      <c r="E117" s="8"/>
      <c r="F117" s="8"/>
      <c r="G117" s="8"/>
      <c r="H117" s="9">
        <v>3746.64</v>
      </c>
      <c r="I117" s="9">
        <v>900</v>
      </c>
      <c r="J117" s="8"/>
      <c r="K117" s="10">
        <f>IF(COUNT(E117:J117)=0,"",MIN(E117:J117))</f>
      </c>
      <c r="L117" s="10">
        <f>IF(COUNT(E117:J117)=0,"",MAX(E117:J117))</f>
      </c>
      <c r="M117" s="5">
        <f>COUNT(E117:J117)</f>
      </c>
      <c r="N117" s="11">
        <f>IF(COUNT(E117:J117)=0,"",MEDIAN(E117:J117))</f>
      </c>
      <c r="O117" s="8"/>
      <c r="P117" s="12">
        <f>IF(OR(O117="",N117=""),"",1-O117/N117)</f>
      </c>
      <c r="Q117" s="5" t="s">
        <v>2</v>
      </c>
      <c r="R117" s="13"/>
      <c r="S117" s="6"/>
      <c r="T117" s="11">
        <f>IF(R117&lt;&gt;"",R117/(1-IF(S117&lt;&gt;"",S117,$E$3)),IF(N117="","",N117*(1+$B$3)))</f>
      </c>
    </row>
    <row r="118" spans="1:20" x14ac:dyDescent="0.25">
      <c r="A118" s="5" t="s">
        <v>218</v>
      </c>
      <c r="B118" s="5" t="s">
        <v>265</v>
      </c>
      <c r="C118" s="5" t="s">
        <v>266</v>
      </c>
      <c r="D118" s="5" t="s">
        <v>85</v>
      </c>
      <c r="E118" s="8"/>
      <c r="F118" s="8"/>
      <c r="G118" s="8"/>
      <c r="H118" s="8"/>
      <c r="I118" s="8"/>
      <c r="J118" s="9">
        <v>35</v>
      </c>
      <c r="K118" s="10">
        <f>IF(COUNT(E118:J118)=0,"",MIN(E118:J118))</f>
      </c>
      <c r="L118" s="10">
        <f>IF(COUNT(E118:J118)=0,"",MAX(E118:J118))</f>
      </c>
      <c r="M118" s="5">
        <f>COUNT(E118:J118)</f>
      </c>
      <c r="N118" s="11">
        <f>IF(COUNT(E118:J118)=0,"",MEDIAN(E118:J118))</f>
      </c>
      <c r="O118" s="8"/>
      <c r="P118" s="12">
        <f>IF(OR(O118="",N118=""),"",1-O118/N118)</f>
      </c>
      <c r="Q118" s="5" t="s">
        <v>2</v>
      </c>
      <c r="R118" s="13"/>
      <c r="S118" s="6"/>
      <c r="T118" s="11">
        <f>IF(R118&lt;&gt;"",R118/(1-IF(S118&lt;&gt;"",S118,$E$3)),IF(N118="","",N118*(1+$B$3)))</f>
      </c>
    </row>
    <row r="119" spans="1:20" x14ac:dyDescent="0.25">
      <c r="A119" s="5" t="s">
        <v>218</v>
      </c>
      <c r="B119" s="5" t="s">
        <v>267</v>
      </c>
      <c r="C119" s="5" t="s">
        <v>268</v>
      </c>
      <c r="D119" s="5" t="s">
        <v>85</v>
      </c>
      <c r="E119" s="9">
        <v>33.95</v>
      </c>
      <c r="F119" s="9">
        <v>33.95</v>
      </c>
      <c r="G119" s="9">
        <v>33.95</v>
      </c>
      <c r="H119" s="9">
        <v>33.95</v>
      </c>
      <c r="I119" s="9">
        <v>33.95</v>
      </c>
      <c r="J119" s="9">
        <v>33.95</v>
      </c>
      <c r="K119" s="10">
        <f>IF(COUNT(E119:J119)=0,"",MIN(E119:J119))</f>
      </c>
      <c r="L119" s="10">
        <f>IF(COUNT(E119:J119)=0,"",MAX(E119:J119))</f>
      </c>
      <c r="M119" s="5">
        <f>COUNT(E119:J119)</f>
      </c>
      <c r="N119" s="11">
        <f>IF(COUNT(E119:J119)=0,"",MEDIAN(E119:J119))</f>
      </c>
      <c r="O119" s="8"/>
      <c r="P119" s="12">
        <f>IF(OR(O119="",N119=""),"",1-O119/N119)</f>
      </c>
      <c r="Q119" s="5" t="s">
        <v>2</v>
      </c>
      <c r="R119" s="13"/>
      <c r="S119" s="6"/>
      <c r="T119" s="11">
        <f>IF(R119&lt;&gt;"",R119/(1-IF(S119&lt;&gt;"",S119,$E$3)),IF(N119="","",N119*(1+$B$3)))</f>
      </c>
    </row>
    <row r="120" spans="1:20" x14ac:dyDescent="0.25">
      <c r="A120" s="5" t="s">
        <v>218</v>
      </c>
      <c r="B120" s="5" t="s">
        <v>269</v>
      </c>
      <c r="C120" s="5" t="s">
        <v>270</v>
      </c>
      <c r="D120" s="5" t="s">
        <v>2</v>
      </c>
      <c r="E120" s="8"/>
      <c r="F120" s="8"/>
      <c r="G120" s="8"/>
      <c r="H120" s="8"/>
      <c r="I120" s="8"/>
      <c r="J120" s="9">
        <v>541.69</v>
      </c>
      <c r="K120" s="10">
        <f>IF(COUNT(E120:J120)=0,"",MIN(E120:J120))</f>
      </c>
      <c r="L120" s="10">
        <f>IF(COUNT(E120:J120)=0,"",MAX(E120:J120))</f>
      </c>
      <c r="M120" s="5">
        <f>COUNT(E120:J120)</f>
      </c>
      <c r="N120" s="11">
        <f>IF(COUNT(E120:J120)=0,"",MEDIAN(E120:J120))</f>
      </c>
      <c r="O120" s="8"/>
      <c r="P120" s="12">
        <f>IF(OR(O120="",N120=""),"",1-O120/N120)</f>
      </c>
      <c r="Q120" s="5" t="s">
        <v>2</v>
      </c>
      <c r="R120" s="13"/>
      <c r="S120" s="6"/>
      <c r="T120" s="11">
        <f>IF(R120&lt;&gt;"",R120/(1-IF(S120&lt;&gt;"",S120,$E$3)),IF(N120="","",N120*(1+$B$3)))</f>
      </c>
    </row>
    <row r="121" spans="1:20" x14ac:dyDescent="0.25">
      <c r="A121" s="5" t="s">
        <v>218</v>
      </c>
      <c r="B121" s="5" t="s">
        <v>271</v>
      </c>
      <c r="C121" s="5" t="s">
        <v>272</v>
      </c>
      <c r="D121" s="5" t="s">
        <v>2</v>
      </c>
      <c r="E121" s="8"/>
      <c r="F121" s="8"/>
      <c r="G121" s="8"/>
      <c r="H121" s="8"/>
      <c r="I121" s="8"/>
      <c r="J121" s="9">
        <v>279.08</v>
      </c>
      <c r="K121" s="10">
        <f>IF(COUNT(E121:J121)=0,"",MIN(E121:J121))</f>
      </c>
      <c r="L121" s="10">
        <f>IF(COUNT(E121:J121)=0,"",MAX(E121:J121))</f>
      </c>
      <c r="M121" s="5">
        <f>COUNT(E121:J121)</f>
      </c>
      <c r="N121" s="11">
        <f>IF(COUNT(E121:J121)=0,"",MEDIAN(E121:J121))</f>
      </c>
      <c r="O121" s="8"/>
      <c r="P121" s="12">
        <f>IF(OR(O121="",N121=""),"",1-O121/N121)</f>
      </c>
      <c r="Q121" s="5" t="s">
        <v>2</v>
      </c>
      <c r="R121" s="13"/>
      <c r="S121" s="6"/>
      <c r="T121" s="11">
        <f>IF(R121&lt;&gt;"",R121/(1-IF(S121&lt;&gt;"",S121,$E$3)),IF(N121="","",N121*(1+$B$3)))</f>
      </c>
    </row>
    <row r="122" spans="1:20" x14ac:dyDescent="0.25">
      <c r="A122" s="5" t="s">
        <v>218</v>
      </c>
      <c r="B122" s="5" t="s">
        <v>273</v>
      </c>
      <c r="C122" s="5" t="s">
        <v>274</v>
      </c>
      <c r="D122" s="5" t="s">
        <v>85</v>
      </c>
      <c r="E122" s="8"/>
      <c r="F122" s="9">
        <v>47.12</v>
      </c>
      <c r="G122" s="9">
        <v>47.12</v>
      </c>
      <c r="H122" s="8"/>
      <c r="I122" s="8"/>
      <c r="J122" s="8"/>
      <c r="K122" s="10">
        <f>IF(COUNT(E122:J122)=0,"",MIN(E122:J122))</f>
      </c>
      <c r="L122" s="10">
        <f>IF(COUNT(E122:J122)=0,"",MAX(E122:J122))</f>
      </c>
      <c r="M122" s="5">
        <f>COUNT(E122:J122)</f>
      </c>
      <c r="N122" s="11">
        <f>IF(COUNT(E122:J122)=0,"",MEDIAN(E122:J122))</f>
      </c>
      <c r="O122" s="8"/>
      <c r="P122" s="12">
        <f>IF(OR(O122="",N122=""),"",1-O122/N122)</f>
      </c>
      <c r="Q122" s="5" t="s">
        <v>2</v>
      </c>
      <c r="R122" s="13"/>
      <c r="S122" s="6"/>
      <c r="T122" s="11">
        <f>IF(R122&lt;&gt;"",R122/(1-IF(S122&lt;&gt;"",S122,$E$3)),IF(N122="","",N122*(1+$B$3)))</f>
      </c>
    </row>
    <row r="123" spans="1:20" x14ac:dyDescent="0.25">
      <c r="A123" s="5" t="s">
        <v>218</v>
      </c>
      <c r="B123" s="5" t="s">
        <v>275</v>
      </c>
      <c r="C123" s="5" t="s">
        <v>276</v>
      </c>
      <c r="D123" s="5" t="s">
        <v>85</v>
      </c>
      <c r="E123" s="9">
        <v>21.16</v>
      </c>
      <c r="F123" s="9">
        <v>21.16</v>
      </c>
      <c r="G123" s="9">
        <v>21.16</v>
      </c>
      <c r="H123" s="9">
        <v>21.16</v>
      </c>
      <c r="I123" s="9">
        <v>21.16</v>
      </c>
      <c r="J123" s="9">
        <v>21.16</v>
      </c>
      <c r="K123" s="10">
        <f>IF(COUNT(E123:J123)=0,"",MIN(E123:J123))</f>
      </c>
      <c r="L123" s="10">
        <f>IF(COUNT(E123:J123)=0,"",MAX(E123:J123))</f>
      </c>
      <c r="M123" s="5">
        <f>COUNT(E123:J123)</f>
      </c>
      <c r="N123" s="11">
        <f>IF(COUNT(E123:J123)=0,"",MEDIAN(E123:J123))</f>
      </c>
      <c r="O123" s="8"/>
      <c r="P123" s="12">
        <f>IF(OR(O123="",N123=""),"",1-O123/N123)</f>
      </c>
      <c r="Q123" s="5" t="s">
        <v>2</v>
      </c>
      <c r="R123" s="13"/>
      <c r="S123" s="6"/>
      <c r="T123" s="11">
        <f>IF(R123&lt;&gt;"",R123/(1-IF(S123&lt;&gt;"",S123,$E$3)),IF(N123="","",N123*(1+$B$3)))</f>
      </c>
    </row>
    <row r="124" spans="1:20" x14ac:dyDescent="0.25">
      <c r="A124" s="5" t="s">
        <v>218</v>
      </c>
      <c r="B124" s="5" t="s">
        <v>277</v>
      </c>
      <c r="C124" s="5" t="s">
        <v>278</v>
      </c>
      <c r="D124" s="5" t="s">
        <v>85</v>
      </c>
      <c r="E124" s="9">
        <v>23.56</v>
      </c>
      <c r="F124" s="9">
        <v>23.56</v>
      </c>
      <c r="G124" s="9">
        <v>23.56</v>
      </c>
      <c r="H124" s="9">
        <v>23.56</v>
      </c>
      <c r="I124" s="9">
        <v>23.56</v>
      </c>
      <c r="J124" s="9">
        <v>23.56</v>
      </c>
      <c r="K124" s="10">
        <f>IF(COUNT(E124:J124)=0,"",MIN(E124:J124))</f>
      </c>
      <c r="L124" s="10">
        <f>IF(COUNT(E124:J124)=0,"",MAX(E124:J124))</f>
      </c>
      <c r="M124" s="5">
        <f>COUNT(E124:J124)</f>
      </c>
      <c r="N124" s="11">
        <f>IF(COUNT(E124:J124)=0,"",MEDIAN(E124:J124))</f>
      </c>
      <c r="O124" s="8"/>
      <c r="P124" s="12">
        <f>IF(OR(O124="",N124=""),"",1-O124/N124)</f>
      </c>
      <c r="Q124" s="5" t="s">
        <v>2</v>
      </c>
      <c r="R124" s="13"/>
      <c r="S124" s="6"/>
      <c r="T124" s="11">
        <f>IF(R124&lt;&gt;"",R124/(1-IF(S124&lt;&gt;"",S124,$E$3)),IF(N124="","",N124*(1+$B$3)))</f>
      </c>
    </row>
    <row r="125" spans="1:20" x14ac:dyDescent="0.25">
      <c r="A125" s="5" t="s">
        <v>218</v>
      </c>
      <c r="B125" s="5" t="s">
        <v>279</v>
      </c>
      <c r="C125" s="5" t="s">
        <v>280</v>
      </c>
      <c r="D125" s="5" t="s">
        <v>85</v>
      </c>
      <c r="E125" s="9">
        <v>31.35</v>
      </c>
      <c r="F125" s="9">
        <v>31.35</v>
      </c>
      <c r="G125" s="9">
        <v>31.35</v>
      </c>
      <c r="H125" s="9">
        <v>31.35</v>
      </c>
      <c r="I125" s="9">
        <v>31.35</v>
      </c>
      <c r="J125" s="9">
        <v>31.35</v>
      </c>
      <c r="K125" s="10">
        <f>IF(COUNT(E125:J125)=0,"",MIN(E125:J125))</f>
      </c>
      <c r="L125" s="10">
        <f>IF(COUNT(E125:J125)=0,"",MAX(E125:J125))</f>
      </c>
      <c r="M125" s="5">
        <f>COUNT(E125:J125)</f>
      </c>
      <c r="N125" s="11">
        <f>IF(COUNT(E125:J125)=0,"",MEDIAN(E125:J125))</f>
      </c>
      <c r="O125" s="8"/>
      <c r="P125" s="12">
        <f>IF(OR(O125="",N125=""),"",1-O125/N125)</f>
      </c>
      <c r="Q125" s="5" t="s">
        <v>2</v>
      </c>
      <c r="R125" s="13"/>
      <c r="S125" s="6"/>
      <c r="T125" s="11">
        <f>IF(R125&lt;&gt;"",R125/(1-IF(S125&lt;&gt;"",S125,$E$3)),IF(N125="","",N125*(1+$B$3)))</f>
      </c>
    </row>
    <row r="126" spans="1:20" x14ac:dyDescent="0.25">
      <c r="A126" s="5" t="s">
        <v>218</v>
      </c>
      <c r="B126" s="5" t="s">
        <v>281</v>
      </c>
      <c r="C126" s="5" t="s">
        <v>282</v>
      </c>
      <c r="D126" s="5" t="s">
        <v>85</v>
      </c>
      <c r="E126" s="9">
        <v>42.32</v>
      </c>
      <c r="F126" s="9">
        <v>42.32</v>
      </c>
      <c r="G126" s="8"/>
      <c r="H126" s="8"/>
      <c r="I126" s="8"/>
      <c r="J126" s="8"/>
      <c r="K126" s="10">
        <f>IF(COUNT(E126:J126)=0,"",MIN(E126:J126))</f>
      </c>
      <c r="L126" s="10">
        <f>IF(COUNT(E126:J126)=0,"",MAX(E126:J126))</f>
      </c>
      <c r="M126" s="5">
        <f>COUNT(E126:J126)</f>
      </c>
      <c r="N126" s="11">
        <f>IF(COUNT(E126:J126)=0,"",MEDIAN(E126:J126))</f>
      </c>
      <c r="O126" s="8"/>
      <c r="P126" s="12">
        <f>IF(OR(O126="",N126=""),"",1-O126/N126)</f>
      </c>
      <c r="Q126" s="5" t="s">
        <v>2</v>
      </c>
      <c r="R126" s="13"/>
      <c r="S126" s="6"/>
      <c r="T126" s="11">
        <f>IF(R126&lt;&gt;"",R126/(1-IF(S126&lt;&gt;"",S126,$E$3)),IF(N126="","",N126*(1+$B$3)))</f>
      </c>
    </row>
    <row r="127" spans="1:20" x14ac:dyDescent="0.25">
      <c r="A127" s="5" t="s">
        <v>218</v>
      </c>
      <c r="B127" s="5" t="s">
        <v>281</v>
      </c>
      <c r="C127" s="5" t="s">
        <v>283</v>
      </c>
      <c r="D127" s="5" t="s">
        <v>85</v>
      </c>
      <c r="E127" s="8"/>
      <c r="F127" s="8"/>
      <c r="G127" s="9">
        <v>42.32</v>
      </c>
      <c r="H127" s="8"/>
      <c r="I127" s="8"/>
      <c r="J127" s="8"/>
      <c r="K127" s="10">
        <f>IF(COUNT(E127:J127)=0,"",MIN(E127:J127))</f>
      </c>
      <c r="L127" s="10">
        <f>IF(COUNT(E127:J127)=0,"",MAX(E127:J127))</f>
      </c>
      <c r="M127" s="5">
        <f>COUNT(E127:J127)</f>
      </c>
      <c r="N127" s="11">
        <f>IF(COUNT(E127:J127)=0,"",MEDIAN(E127:J127))</f>
      </c>
      <c r="O127" s="8"/>
      <c r="P127" s="12">
        <f>IF(OR(O127="",N127=""),"",1-O127/N127)</f>
      </c>
      <c r="Q127" s="5" t="s">
        <v>2</v>
      </c>
      <c r="R127" s="13"/>
      <c r="S127" s="6"/>
      <c r="T127" s="11">
        <f>IF(R127&lt;&gt;"",R127/(1-IF(S127&lt;&gt;"",S127,$E$3)),IF(N127="","",N127*(1+$B$3)))</f>
      </c>
    </row>
    <row r="128" spans="1:20" x14ac:dyDescent="0.25">
      <c r="A128" s="5" t="s">
        <v>218</v>
      </c>
      <c r="B128" s="5" t="s">
        <v>284</v>
      </c>
      <c r="C128" s="5" t="s">
        <v>285</v>
      </c>
      <c r="D128" s="5" t="s">
        <v>85</v>
      </c>
      <c r="E128" s="9">
        <v>47.12</v>
      </c>
      <c r="F128" s="9">
        <v>47.12</v>
      </c>
      <c r="G128" s="8"/>
      <c r="H128" s="8"/>
      <c r="I128" s="8"/>
      <c r="J128" s="8"/>
      <c r="K128" s="10">
        <f>IF(COUNT(E128:J128)=0,"",MIN(E128:J128))</f>
      </c>
      <c r="L128" s="10">
        <f>IF(COUNT(E128:J128)=0,"",MAX(E128:J128))</f>
      </c>
      <c r="M128" s="5">
        <f>COUNT(E128:J128)</f>
      </c>
      <c r="N128" s="11">
        <f>IF(COUNT(E128:J128)=0,"",MEDIAN(E128:J128))</f>
      </c>
      <c r="O128" s="8"/>
      <c r="P128" s="12">
        <f>IF(OR(O128="",N128=""),"",1-O128/N128)</f>
      </c>
      <c r="Q128" s="5" t="s">
        <v>2</v>
      </c>
      <c r="R128" s="13"/>
      <c r="S128" s="6"/>
      <c r="T128" s="11">
        <f>IF(R128&lt;&gt;"",R128/(1-IF(S128&lt;&gt;"",S128,$E$3)),IF(N128="","",N128*(1+$B$3)))</f>
      </c>
    </row>
    <row r="129" spans="1:20" x14ac:dyDescent="0.25">
      <c r="A129" s="5" t="s">
        <v>218</v>
      </c>
      <c r="B129" s="5" t="s">
        <v>284</v>
      </c>
      <c r="C129" s="5" t="s">
        <v>286</v>
      </c>
      <c r="D129" s="5" t="s">
        <v>85</v>
      </c>
      <c r="E129" s="8"/>
      <c r="F129" s="8"/>
      <c r="G129" s="9">
        <v>47.12</v>
      </c>
      <c r="H129" s="8"/>
      <c r="I129" s="8"/>
      <c r="J129" s="8"/>
      <c r="K129" s="10">
        <f>IF(COUNT(E129:J129)=0,"",MIN(E129:J129))</f>
      </c>
      <c r="L129" s="10">
        <f>IF(COUNT(E129:J129)=0,"",MAX(E129:J129))</f>
      </c>
      <c r="M129" s="5">
        <f>COUNT(E129:J129)</f>
      </c>
      <c r="N129" s="11">
        <f>IF(COUNT(E129:J129)=0,"",MEDIAN(E129:J129))</f>
      </c>
      <c r="O129" s="8"/>
      <c r="P129" s="12">
        <f>IF(OR(O129="",N129=""),"",1-O129/N129)</f>
      </c>
      <c r="Q129" s="5" t="s">
        <v>2</v>
      </c>
      <c r="R129" s="13"/>
      <c r="S129" s="6"/>
      <c r="T129" s="11">
        <f>IF(R129&lt;&gt;"",R129/(1-IF(S129&lt;&gt;"",S129,$E$3)),IF(N129="","",N129*(1+$B$3)))</f>
      </c>
    </row>
    <row r="130" spans="1:20" x14ac:dyDescent="0.25">
      <c r="A130" s="5" t="s">
        <v>218</v>
      </c>
      <c r="B130" s="5" t="s">
        <v>284</v>
      </c>
      <c r="C130" s="5" t="s">
        <v>287</v>
      </c>
      <c r="D130" s="5" t="s">
        <v>85</v>
      </c>
      <c r="E130" s="8"/>
      <c r="F130" s="8"/>
      <c r="G130" s="8"/>
      <c r="H130" s="9">
        <v>47.04</v>
      </c>
      <c r="I130" s="9">
        <v>47.12</v>
      </c>
      <c r="J130" s="8"/>
      <c r="K130" s="10">
        <f>IF(COUNT(E130:J130)=0,"",MIN(E130:J130))</f>
      </c>
      <c r="L130" s="10">
        <f>IF(COUNT(E130:J130)=0,"",MAX(E130:J130))</f>
      </c>
      <c r="M130" s="5">
        <f>COUNT(E130:J130)</f>
      </c>
      <c r="N130" s="11">
        <f>IF(COUNT(E130:J130)=0,"",MEDIAN(E130:J130))</f>
      </c>
      <c r="O130" s="8"/>
      <c r="P130" s="12">
        <f>IF(OR(O130="",N130=""),"",1-O130/N130)</f>
      </c>
      <c r="Q130" s="5" t="s">
        <v>2</v>
      </c>
      <c r="R130" s="13"/>
      <c r="S130" s="6"/>
      <c r="T130" s="11">
        <f>IF(R130&lt;&gt;"",R130/(1-IF(S130&lt;&gt;"",S130,$E$3)),IF(N130="","",N130*(1+$B$3)))</f>
      </c>
    </row>
    <row r="131" spans="1:20" x14ac:dyDescent="0.25">
      <c r="A131" s="5" t="s">
        <v>218</v>
      </c>
      <c r="B131" s="5" t="s">
        <v>288</v>
      </c>
      <c r="C131" s="5" t="s">
        <v>224</v>
      </c>
      <c r="D131" s="5" t="s">
        <v>85</v>
      </c>
      <c r="E131" s="8"/>
      <c r="F131" s="8"/>
      <c r="G131" s="8"/>
      <c r="H131" s="9">
        <v>36.6</v>
      </c>
      <c r="I131" s="8"/>
      <c r="J131" s="8"/>
      <c r="K131" s="10">
        <f>IF(COUNT(E131:J131)=0,"",MIN(E131:J131))</f>
      </c>
      <c r="L131" s="10">
        <f>IF(COUNT(E131:J131)=0,"",MAX(E131:J131))</f>
      </c>
      <c r="M131" s="5">
        <f>COUNT(E131:J131)</f>
      </c>
      <c r="N131" s="11">
        <f>IF(COUNT(E131:J131)=0,"",MEDIAN(E131:J131))</f>
      </c>
      <c r="O131" s="8"/>
      <c r="P131" s="12">
        <f>IF(OR(O131="",N131=""),"",1-O131/N131)</f>
      </c>
      <c r="Q131" s="5" t="s">
        <v>2</v>
      </c>
      <c r="R131" s="13"/>
      <c r="S131" s="6"/>
      <c r="T131" s="11">
        <f>IF(R131&lt;&gt;"",R131/(1-IF(S131&lt;&gt;"",S131,$E$3)),IF(N131="","",N131*(1+$B$3)))</f>
      </c>
    </row>
    <row r="132" spans="1:20" x14ac:dyDescent="0.25">
      <c r="A132" s="5" t="s">
        <v>218</v>
      </c>
      <c r="B132" s="5" t="s">
        <v>289</v>
      </c>
      <c r="C132" s="5" t="s">
        <v>290</v>
      </c>
      <c r="D132" s="5" t="s">
        <v>85</v>
      </c>
      <c r="E132" s="8"/>
      <c r="F132" s="9">
        <v>63.48</v>
      </c>
      <c r="G132" s="8"/>
      <c r="H132" s="8"/>
      <c r="I132" s="8"/>
      <c r="J132" s="8"/>
      <c r="K132" s="10">
        <f>IF(COUNT(E132:J132)=0,"",MIN(E132:J132))</f>
      </c>
      <c r="L132" s="10">
        <f>IF(COUNT(E132:J132)=0,"",MAX(E132:J132))</f>
      </c>
      <c r="M132" s="5">
        <f>COUNT(E132:J132)</f>
      </c>
      <c r="N132" s="11">
        <f>IF(COUNT(E132:J132)=0,"",MEDIAN(E132:J132))</f>
      </c>
      <c r="O132" s="8"/>
      <c r="P132" s="12">
        <f>IF(OR(O132="",N132=""),"",1-O132/N132)</f>
      </c>
      <c r="Q132" s="5" t="s">
        <v>2</v>
      </c>
      <c r="R132" s="13"/>
      <c r="S132" s="6"/>
      <c r="T132" s="11">
        <f>IF(R132&lt;&gt;"",R132/(1-IF(S132&lt;&gt;"",S132,$E$3)),IF(N132="","",N132*(1+$B$3)))</f>
      </c>
    </row>
    <row r="133" spans="1:20" x14ac:dyDescent="0.25">
      <c r="A133" s="5" t="s">
        <v>218</v>
      </c>
      <c r="B133" s="5" t="s">
        <v>289</v>
      </c>
      <c r="C133" s="5" t="s">
        <v>291</v>
      </c>
      <c r="D133" s="5" t="s">
        <v>85</v>
      </c>
      <c r="E133" s="8"/>
      <c r="F133" s="8"/>
      <c r="G133" s="9">
        <v>63.48</v>
      </c>
      <c r="H133" s="8"/>
      <c r="I133" s="8"/>
      <c r="J133" s="8"/>
      <c r="K133" s="10">
        <f>IF(COUNT(E133:J133)=0,"",MIN(E133:J133))</f>
      </c>
      <c r="L133" s="10">
        <f>IF(COUNT(E133:J133)=0,"",MAX(E133:J133))</f>
      </c>
      <c r="M133" s="5">
        <f>COUNT(E133:J133)</f>
      </c>
      <c r="N133" s="11">
        <f>IF(COUNT(E133:J133)=0,"",MEDIAN(E133:J133))</f>
      </c>
      <c r="O133" s="8"/>
      <c r="P133" s="12">
        <f>IF(OR(O133="",N133=""),"",1-O133/N133)</f>
      </c>
      <c r="Q133" s="5" t="s">
        <v>2</v>
      </c>
      <c r="R133" s="13"/>
      <c r="S133" s="6"/>
      <c r="T133" s="11">
        <f>IF(R133&lt;&gt;"",R133/(1-IF(S133&lt;&gt;"",S133,$E$3)),IF(N133="","",N133*(1+$B$3)))</f>
      </c>
    </row>
    <row r="134" spans="1:20" x14ac:dyDescent="0.25">
      <c r="A134" s="5" t="s">
        <v>218</v>
      </c>
      <c r="B134" s="5" t="s">
        <v>292</v>
      </c>
      <c r="C134" s="5" t="s">
        <v>293</v>
      </c>
      <c r="D134" s="5" t="s">
        <v>85</v>
      </c>
      <c r="E134" s="8"/>
      <c r="F134" s="9">
        <v>70.68</v>
      </c>
      <c r="G134" s="8"/>
      <c r="H134" s="9">
        <v>79.53</v>
      </c>
      <c r="I134" s="8"/>
      <c r="J134" s="8"/>
      <c r="K134" s="10">
        <f>IF(COUNT(E134:J134)=0,"",MIN(E134:J134))</f>
      </c>
      <c r="L134" s="10">
        <f>IF(COUNT(E134:J134)=0,"",MAX(E134:J134))</f>
      </c>
      <c r="M134" s="5">
        <f>COUNT(E134:J134)</f>
      </c>
      <c r="N134" s="11">
        <f>IF(COUNT(E134:J134)=0,"",MEDIAN(E134:J134))</f>
      </c>
      <c r="O134" s="8"/>
      <c r="P134" s="12">
        <f>IF(OR(O134="",N134=""),"",1-O134/N134)</f>
      </c>
      <c r="Q134" s="5" t="s">
        <v>2</v>
      </c>
      <c r="R134" s="13"/>
      <c r="S134" s="6"/>
      <c r="T134" s="11">
        <f>IF(R134&lt;&gt;"",R134/(1-IF(S134&lt;&gt;"",S134,$E$3)),IF(N134="","",N134*(1+$B$3)))</f>
      </c>
    </row>
    <row r="135" spans="1:20" x14ac:dyDescent="0.25">
      <c r="A135" s="5" t="s">
        <v>218</v>
      </c>
      <c r="B135" s="5" t="s">
        <v>292</v>
      </c>
      <c r="C135" s="5" t="s">
        <v>294</v>
      </c>
      <c r="D135" s="5" t="s">
        <v>85</v>
      </c>
      <c r="E135" s="8"/>
      <c r="F135" s="8"/>
      <c r="G135" s="9">
        <v>70.68</v>
      </c>
      <c r="H135" s="8"/>
      <c r="I135" s="8"/>
      <c r="J135" s="8"/>
      <c r="K135" s="10">
        <f>IF(COUNT(E135:J135)=0,"",MIN(E135:J135))</f>
      </c>
      <c r="L135" s="10">
        <f>IF(COUNT(E135:J135)=0,"",MAX(E135:J135))</f>
      </c>
      <c r="M135" s="5">
        <f>COUNT(E135:J135)</f>
      </c>
      <c r="N135" s="11">
        <f>IF(COUNT(E135:J135)=0,"",MEDIAN(E135:J135))</f>
      </c>
      <c r="O135" s="8"/>
      <c r="P135" s="12">
        <f>IF(OR(O135="",N135=""),"",1-O135/N135)</f>
      </c>
      <c r="Q135" s="5" t="s">
        <v>2</v>
      </c>
      <c r="R135" s="13"/>
      <c r="S135" s="6"/>
      <c r="T135" s="11">
        <f>IF(R135&lt;&gt;"",R135/(1-IF(S135&lt;&gt;"",S135,$E$3)),IF(N135="","",N135*(1+$B$3)))</f>
      </c>
    </row>
    <row r="136" spans="1:20" x14ac:dyDescent="0.25">
      <c r="A136" s="5" t="s">
        <v>218</v>
      </c>
      <c r="B136" s="5" t="s">
        <v>295</v>
      </c>
      <c r="C136" s="5" t="s">
        <v>296</v>
      </c>
      <c r="D136" s="5" t="s">
        <v>85</v>
      </c>
      <c r="E136" s="8"/>
      <c r="F136" s="8"/>
      <c r="G136" s="8"/>
      <c r="H136" s="9">
        <v>54.9</v>
      </c>
      <c r="I136" s="8"/>
      <c r="J136" s="8"/>
      <c r="K136" s="10">
        <f>IF(COUNT(E136:J136)=0,"",MIN(E136:J136))</f>
      </c>
      <c r="L136" s="10">
        <f>IF(COUNT(E136:J136)=0,"",MAX(E136:J136))</f>
      </c>
      <c r="M136" s="5">
        <f>COUNT(E136:J136)</f>
      </c>
      <c r="N136" s="11">
        <f>IF(COUNT(E136:J136)=0,"",MEDIAN(E136:J136))</f>
      </c>
      <c r="O136" s="8"/>
      <c r="P136" s="12">
        <f>IF(OR(O136="",N136=""),"",1-O136/N136)</f>
      </c>
      <c r="Q136" s="5" t="s">
        <v>2</v>
      </c>
      <c r="R136" s="13"/>
      <c r="S136" s="6"/>
      <c r="T136" s="11">
        <f>IF(R136&lt;&gt;"",R136/(1-IF(S136&lt;&gt;"",S136,$E$3)),IF(N136="","",N136*(1+$B$3)))</f>
      </c>
    </row>
    <row r="137" spans="1:20" x14ac:dyDescent="0.25">
      <c r="A137" s="5" t="s">
        <v>218</v>
      </c>
      <c r="B137" s="5" t="s">
        <v>297</v>
      </c>
      <c r="C137" s="5" t="s">
        <v>298</v>
      </c>
      <c r="D137" s="5" t="s">
        <v>85</v>
      </c>
      <c r="E137" s="8"/>
      <c r="F137" s="8"/>
      <c r="G137" s="8"/>
      <c r="H137" s="9">
        <v>47.04</v>
      </c>
      <c r="I137" s="8"/>
      <c r="J137" s="8"/>
      <c r="K137" s="10">
        <f>IF(COUNT(E137:J137)=0,"",MIN(E137:J137))</f>
      </c>
      <c r="L137" s="10">
        <f>IF(COUNT(E137:J137)=0,"",MAX(E137:J137))</f>
      </c>
      <c r="M137" s="5">
        <f>COUNT(E137:J137)</f>
      </c>
      <c r="N137" s="11">
        <f>IF(COUNT(E137:J137)=0,"",MEDIAN(E137:J137))</f>
      </c>
      <c r="O137" s="8"/>
      <c r="P137" s="12">
        <f>IF(OR(O137="",N137=""),"",1-O137/N137)</f>
      </c>
      <c r="Q137" s="5" t="s">
        <v>2</v>
      </c>
      <c r="R137" s="13"/>
      <c r="S137" s="6"/>
      <c r="T137" s="11">
        <f>IF(R137&lt;&gt;"",R137/(1-IF(S137&lt;&gt;"",S137,$E$3)),IF(N137="","",N137*(1+$B$3)))</f>
      </c>
    </row>
    <row r="138" spans="1:20" x14ac:dyDescent="0.25">
      <c r="A138" s="5" t="s">
        <v>218</v>
      </c>
      <c r="B138" s="5" t="s">
        <v>299</v>
      </c>
      <c r="C138" s="5" t="s">
        <v>300</v>
      </c>
      <c r="D138" s="5" t="s">
        <v>85</v>
      </c>
      <c r="E138" s="9">
        <v>39.46</v>
      </c>
      <c r="F138" s="9">
        <v>39.5</v>
      </c>
      <c r="G138" s="8"/>
      <c r="H138" s="8"/>
      <c r="I138" s="8"/>
      <c r="J138" s="8"/>
      <c r="K138" s="10">
        <f>IF(COUNT(E138:J138)=0,"",MIN(E138:J138))</f>
      </c>
      <c r="L138" s="10">
        <f>IF(COUNT(E138:J138)=0,"",MAX(E138:J138))</f>
      </c>
      <c r="M138" s="5">
        <f>COUNT(E138:J138)</f>
      </c>
      <c r="N138" s="11">
        <f>IF(COUNT(E138:J138)=0,"",MEDIAN(E138:J138))</f>
      </c>
      <c r="O138" s="8"/>
      <c r="P138" s="12">
        <f>IF(OR(O138="",N138=""),"",1-O138/N138)</f>
      </c>
      <c r="Q138" s="5" t="s">
        <v>2</v>
      </c>
      <c r="R138" s="13"/>
      <c r="S138" s="6"/>
      <c r="T138" s="11">
        <f>IF(R138&lt;&gt;"",R138/(1-IF(S138&lt;&gt;"",S138,$E$3)),IF(N138="","",N138*(1+$B$3)))</f>
      </c>
    </row>
    <row r="139" spans="1:20" x14ac:dyDescent="0.25">
      <c r="A139" s="5" t="s">
        <v>218</v>
      </c>
      <c r="B139" s="5" t="s">
        <v>299</v>
      </c>
      <c r="C139" s="5" t="s">
        <v>301</v>
      </c>
      <c r="D139" s="5" t="s">
        <v>85</v>
      </c>
      <c r="E139" s="8"/>
      <c r="F139" s="8"/>
      <c r="G139" s="9">
        <v>39.5</v>
      </c>
      <c r="H139" s="8"/>
      <c r="I139" s="8"/>
      <c r="J139" s="8"/>
      <c r="K139" s="10">
        <f>IF(COUNT(E139:J139)=0,"",MIN(E139:J139))</f>
      </c>
      <c r="L139" s="10">
        <f>IF(COUNT(E139:J139)=0,"",MAX(E139:J139))</f>
      </c>
      <c r="M139" s="5">
        <f>COUNT(E139:J139)</f>
      </c>
      <c r="N139" s="11">
        <f>IF(COUNT(E139:J139)=0,"",MEDIAN(E139:J139))</f>
      </c>
      <c r="O139" s="8"/>
      <c r="P139" s="12">
        <f>IF(OR(O139="",N139=""),"",1-O139/N139)</f>
      </c>
      <c r="Q139" s="5" t="s">
        <v>2</v>
      </c>
      <c r="R139" s="13"/>
      <c r="S139" s="6"/>
      <c r="T139" s="11">
        <f>IF(R139&lt;&gt;"",R139/(1-IF(S139&lt;&gt;"",S139,$E$3)),IF(N139="","",N139*(1+$B$3)))</f>
      </c>
    </row>
    <row r="140" spans="1:20" x14ac:dyDescent="0.25">
      <c r="A140" s="5" t="s">
        <v>218</v>
      </c>
      <c r="B140" s="5" t="s">
        <v>302</v>
      </c>
      <c r="C140" s="5" t="s">
        <v>303</v>
      </c>
      <c r="D140" s="5" t="s">
        <v>85</v>
      </c>
      <c r="E140" s="9">
        <v>18.3</v>
      </c>
      <c r="F140" s="9">
        <v>18.3</v>
      </c>
      <c r="G140" s="9">
        <v>18.3</v>
      </c>
      <c r="H140" s="9">
        <v>18.3</v>
      </c>
      <c r="I140" s="9">
        <v>18.3</v>
      </c>
      <c r="J140" s="9">
        <v>18.3</v>
      </c>
      <c r="K140" s="10">
        <f>IF(COUNT(E140:J140)=0,"",MIN(E140:J140))</f>
      </c>
      <c r="L140" s="10">
        <f>IF(COUNT(E140:J140)=0,"",MAX(E140:J140))</f>
      </c>
      <c r="M140" s="5">
        <f>COUNT(E140:J140)</f>
      </c>
      <c r="N140" s="11">
        <f>IF(COUNT(E140:J140)=0,"",MEDIAN(E140:J140))</f>
      </c>
      <c r="O140" s="8"/>
      <c r="P140" s="12">
        <f>IF(OR(O140="",N140=""),"",1-O140/N140)</f>
      </c>
      <c r="Q140" s="5" t="s">
        <v>2</v>
      </c>
      <c r="R140" s="13"/>
      <c r="S140" s="6"/>
      <c r="T140" s="11">
        <f>IF(R140&lt;&gt;"",R140/(1-IF(S140&lt;&gt;"",S140,$E$3)),IF(N140="","",N140*(1+$B$3)))</f>
      </c>
    </row>
    <row r="141" spans="1:20" x14ac:dyDescent="0.25">
      <c r="A141" s="5" t="s">
        <v>218</v>
      </c>
      <c r="B141" s="5" t="s">
        <v>304</v>
      </c>
      <c r="C141" s="5" t="s">
        <v>305</v>
      </c>
      <c r="D141" s="5" t="s">
        <v>85</v>
      </c>
      <c r="E141" s="8"/>
      <c r="F141" s="8"/>
      <c r="G141" s="8"/>
      <c r="H141" s="8"/>
      <c r="I141" s="8"/>
      <c r="J141" s="9">
        <v>50.79</v>
      </c>
      <c r="K141" s="10">
        <f>IF(COUNT(E141:J141)=0,"",MIN(E141:J141))</f>
      </c>
      <c r="L141" s="10">
        <f>IF(COUNT(E141:J141)=0,"",MAX(E141:J141))</f>
      </c>
      <c r="M141" s="5">
        <f>COUNT(E141:J141)</f>
      </c>
      <c r="N141" s="11">
        <f>IF(COUNT(E141:J141)=0,"",MEDIAN(E141:J141))</f>
      </c>
      <c r="O141" s="8"/>
      <c r="P141" s="12">
        <f>IF(OR(O141="",N141=""),"",1-O141/N141)</f>
      </c>
      <c r="Q141" s="5" t="s">
        <v>2</v>
      </c>
      <c r="R141" s="13"/>
      <c r="S141" s="6"/>
      <c r="T141" s="11">
        <f>IF(R141&lt;&gt;"",R141/(1-IF(S141&lt;&gt;"",S141,$E$3)),IF(N141="","",N141*(1+$B$3)))</f>
      </c>
    </row>
    <row r="142" spans="1:20" x14ac:dyDescent="0.25">
      <c r="A142" s="5" t="s">
        <v>218</v>
      </c>
      <c r="B142" s="5" t="s">
        <v>306</v>
      </c>
      <c r="C142" s="5" t="s">
        <v>307</v>
      </c>
      <c r="D142" s="5" t="s">
        <v>85</v>
      </c>
      <c r="E142" s="8"/>
      <c r="F142" s="8"/>
      <c r="G142" s="8"/>
      <c r="H142" s="8"/>
      <c r="I142" s="8"/>
      <c r="J142" s="9">
        <v>45</v>
      </c>
      <c r="K142" s="10">
        <f>IF(COUNT(E142:J142)=0,"",MIN(E142:J142))</f>
      </c>
      <c r="L142" s="10">
        <f>IF(COUNT(E142:J142)=0,"",MAX(E142:J142))</f>
      </c>
      <c r="M142" s="5">
        <f>COUNT(E142:J142)</f>
      </c>
      <c r="N142" s="11">
        <f>IF(COUNT(E142:J142)=0,"",MEDIAN(E142:J142))</f>
      </c>
      <c r="O142" s="8"/>
      <c r="P142" s="12">
        <f>IF(OR(O142="",N142=""),"",1-O142/N142)</f>
      </c>
      <c r="Q142" s="5" t="s">
        <v>2</v>
      </c>
      <c r="R142" s="13"/>
      <c r="S142" s="6"/>
      <c r="T142" s="11">
        <f>IF(R142&lt;&gt;"",R142/(1-IF(S142&lt;&gt;"",S142,$E$3)),IF(N142="","",N142*(1+$B$3)))</f>
      </c>
    </row>
    <row r="143" spans="1:20" x14ac:dyDescent="0.25">
      <c r="A143" s="5" t="s">
        <v>218</v>
      </c>
      <c r="B143" s="5" t="s">
        <v>308</v>
      </c>
      <c r="C143" s="5" t="s">
        <v>309</v>
      </c>
      <c r="D143" s="5" t="s">
        <v>85</v>
      </c>
      <c r="E143" s="8"/>
      <c r="F143" s="8"/>
      <c r="G143" s="8"/>
      <c r="H143" s="8"/>
      <c r="I143" s="9">
        <v>47.12</v>
      </c>
      <c r="J143" s="8"/>
      <c r="K143" s="10">
        <f>IF(COUNT(E143:J143)=0,"",MIN(E143:J143))</f>
      </c>
      <c r="L143" s="10">
        <f>IF(COUNT(E143:J143)=0,"",MAX(E143:J143))</f>
      </c>
      <c r="M143" s="5">
        <f>COUNT(E143:J143)</f>
      </c>
      <c r="N143" s="11">
        <f>IF(COUNT(E143:J143)=0,"",MEDIAN(E143:J143))</f>
      </c>
      <c r="O143" s="8"/>
      <c r="P143" s="12">
        <f>IF(OR(O143="",N143=""),"",1-O143/N143)</f>
      </c>
      <c r="Q143" s="5" t="s">
        <v>2</v>
      </c>
      <c r="R143" s="13"/>
      <c r="S143" s="6"/>
      <c r="T143" s="11">
        <f>IF(R143&lt;&gt;"",R143/(1-IF(S143&lt;&gt;"",S143,$E$3)),IF(N143="","",N143*(1+$B$3)))</f>
      </c>
    </row>
    <row r="144" spans="1:20" x14ac:dyDescent="0.25">
      <c r="A144" s="5" t="s">
        <v>218</v>
      </c>
      <c r="B144" s="5" t="s">
        <v>310</v>
      </c>
      <c r="C144" s="5" t="s">
        <v>311</v>
      </c>
      <c r="D144" s="5" t="s">
        <v>85</v>
      </c>
      <c r="E144" s="8"/>
      <c r="F144" s="8"/>
      <c r="G144" s="8"/>
      <c r="H144" s="9">
        <v>36.3</v>
      </c>
      <c r="I144" s="8"/>
      <c r="J144" s="8"/>
      <c r="K144" s="10">
        <f>IF(COUNT(E144:J144)=0,"",MIN(E144:J144))</f>
      </c>
      <c r="L144" s="10">
        <f>IF(COUNT(E144:J144)=0,"",MAX(E144:J144))</f>
      </c>
      <c r="M144" s="5">
        <f>COUNT(E144:J144)</f>
      </c>
      <c r="N144" s="11">
        <f>IF(COUNT(E144:J144)=0,"",MEDIAN(E144:J144))</f>
      </c>
      <c r="O144" s="8"/>
      <c r="P144" s="12">
        <f>IF(OR(O144="",N144=""),"",1-O144/N144)</f>
      </c>
      <c r="Q144" s="5" t="s">
        <v>2</v>
      </c>
      <c r="R144" s="13"/>
      <c r="S144" s="6"/>
      <c r="T144" s="11">
        <f>IF(R144&lt;&gt;"",R144/(1-IF(S144&lt;&gt;"",S144,$E$3)),IF(N144="","",N144*(1+$B$3)))</f>
      </c>
    </row>
    <row r="145" spans="1:20" x14ac:dyDescent="0.25">
      <c r="A145" s="5" t="s">
        <v>218</v>
      </c>
      <c r="B145" s="5" t="s">
        <v>312</v>
      </c>
      <c r="C145" s="5" t="s">
        <v>313</v>
      </c>
      <c r="D145" s="5" t="s">
        <v>85</v>
      </c>
      <c r="E145" s="8"/>
      <c r="F145" s="8"/>
      <c r="G145" s="8"/>
      <c r="H145" s="9">
        <v>79.53</v>
      </c>
      <c r="I145" s="8"/>
      <c r="J145" s="8"/>
      <c r="K145" s="10">
        <f>IF(COUNT(E145:J145)=0,"",MIN(E145:J145))</f>
      </c>
      <c r="L145" s="10">
        <f>IF(COUNT(E145:J145)=0,"",MAX(E145:J145))</f>
      </c>
      <c r="M145" s="5">
        <f>COUNT(E145:J145)</f>
      </c>
      <c r="N145" s="11">
        <f>IF(COUNT(E145:J145)=0,"",MEDIAN(E145:J145))</f>
      </c>
      <c r="O145" s="8"/>
      <c r="P145" s="12">
        <f>IF(OR(O145="",N145=""),"",1-O145/N145)</f>
      </c>
      <c r="Q145" s="5" t="s">
        <v>2</v>
      </c>
      <c r="R145" s="13"/>
      <c r="S145" s="6"/>
      <c r="T145" s="11">
        <f>IF(R145&lt;&gt;"",R145/(1-IF(S145&lt;&gt;"",S145,$E$3)),IF(N145="","",N145*(1+$B$3)))</f>
      </c>
    </row>
    <row r="146" spans="1:20" x14ac:dyDescent="0.25">
      <c r="A146" s="5" t="s">
        <v>218</v>
      </c>
      <c r="B146" s="5" t="s">
        <v>314</v>
      </c>
      <c r="C146" s="5" t="s">
        <v>315</v>
      </c>
      <c r="D146" s="5" t="s">
        <v>85</v>
      </c>
      <c r="E146" s="9">
        <v>256.28</v>
      </c>
      <c r="F146" s="8"/>
      <c r="G146" s="8"/>
      <c r="H146" s="9">
        <v>256.28</v>
      </c>
      <c r="I146" s="8"/>
      <c r="J146" s="8"/>
      <c r="K146" s="10">
        <f>IF(COUNT(E146:J146)=0,"",MIN(E146:J146))</f>
      </c>
      <c r="L146" s="10">
        <f>IF(COUNT(E146:J146)=0,"",MAX(E146:J146))</f>
      </c>
      <c r="M146" s="5">
        <f>COUNT(E146:J146)</f>
      </c>
      <c r="N146" s="11">
        <f>IF(COUNT(E146:J146)=0,"",MEDIAN(E146:J146))</f>
      </c>
      <c r="O146" s="8"/>
      <c r="P146" s="12">
        <f>IF(OR(O146="",N146=""),"",1-O146/N146)</f>
      </c>
      <c r="Q146" s="5" t="s">
        <v>2</v>
      </c>
      <c r="R146" s="13"/>
      <c r="S146" s="6"/>
      <c r="T146" s="11">
        <f>IF(R146&lt;&gt;"",R146/(1-IF(S146&lt;&gt;"",S146,$E$3)),IF(N146="","",N146*(1+$B$3)))</f>
      </c>
    </row>
    <row r="147" spans="1:20" x14ac:dyDescent="0.25">
      <c r="A147" s="5" t="s">
        <v>218</v>
      </c>
      <c r="B147" s="5" t="s">
        <v>316</v>
      </c>
      <c r="C147" s="5" t="s">
        <v>317</v>
      </c>
      <c r="D147" s="5" t="s">
        <v>85</v>
      </c>
      <c r="E147" s="9">
        <v>48.4</v>
      </c>
      <c r="F147" s="9">
        <v>48.4</v>
      </c>
      <c r="G147" s="9">
        <v>48.4</v>
      </c>
      <c r="H147" s="9">
        <v>48.4</v>
      </c>
      <c r="I147" s="9">
        <v>48.4</v>
      </c>
      <c r="J147" s="9">
        <v>48.4</v>
      </c>
      <c r="K147" s="10">
        <f>IF(COUNT(E147:J147)=0,"",MIN(E147:J147))</f>
      </c>
      <c r="L147" s="10">
        <f>IF(COUNT(E147:J147)=0,"",MAX(E147:J147))</f>
      </c>
      <c r="M147" s="5">
        <f>COUNT(E147:J147)</f>
      </c>
      <c r="N147" s="11">
        <f>IF(COUNT(E147:J147)=0,"",MEDIAN(E147:J147))</f>
      </c>
      <c r="O147" s="8"/>
      <c r="P147" s="12">
        <f>IF(OR(O147="",N147=""),"",1-O147/N147)</f>
      </c>
      <c r="Q147" s="5" t="s">
        <v>2</v>
      </c>
      <c r="R147" s="13"/>
      <c r="S147" s="6"/>
      <c r="T147" s="11">
        <f>IF(R147&lt;&gt;"",R147/(1-IF(S147&lt;&gt;"",S147,$E$3)),IF(N147="","",N147*(1+$B$3)))</f>
      </c>
    </row>
    <row r="148" spans="1:20" x14ac:dyDescent="0.25">
      <c r="A148" s="5" t="s">
        <v>218</v>
      </c>
      <c r="B148" s="5" t="s">
        <v>318</v>
      </c>
      <c r="C148" s="5" t="s">
        <v>305</v>
      </c>
      <c r="D148" s="5" t="s">
        <v>85</v>
      </c>
      <c r="E148" s="9">
        <v>50.79</v>
      </c>
      <c r="F148" s="9">
        <v>50.79</v>
      </c>
      <c r="G148" s="9">
        <v>50.79</v>
      </c>
      <c r="H148" s="9">
        <v>50.79</v>
      </c>
      <c r="I148" s="9">
        <v>50.79</v>
      </c>
      <c r="J148" s="8"/>
      <c r="K148" s="10">
        <f>IF(COUNT(E148:J148)=0,"",MIN(E148:J148))</f>
      </c>
      <c r="L148" s="10">
        <f>IF(COUNT(E148:J148)=0,"",MAX(E148:J148))</f>
      </c>
      <c r="M148" s="5">
        <f>COUNT(E148:J148)</f>
      </c>
      <c r="N148" s="11">
        <f>IF(COUNT(E148:J148)=0,"",MEDIAN(E148:J148))</f>
      </c>
      <c r="O148" s="8"/>
      <c r="P148" s="12">
        <f>IF(OR(O148="",N148=""),"",1-O148/N148)</f>
      </c>
      <c r="Q148" s="5" t="s">
        <v>2</v>
      </c>
      <c r="R148" s="13"/>
      <c r="S148" s="6"/>
      <c r="T148" s="11">
        <f>IF(R148&lt;&gt;"",R148/(1-IF(S148&lt;&gt;"",S148,$E$3)),IF(N148="","",N148*(1+$B$3)))</f>
      </c>
    </row>
    <row r="149" spans="1:20" x14ac:dyDescent="0.25">
      <c r="A149" s="5" t="s">
        <v>218</v>
      </c>
      <c r="B149" s="5" t="s">
        <v>319</v>
      </c>
      <c r="C149" s="5" t="s">
        <v>307</v>
      </c>
      <c r="D149" s="5" t="s">
        <v>85</v>
      </c>
      <c r="E149" s="9">
        <v>45</v>
      </c>
      <c r="F149" s="9">
        <v>45</v>
      </c>
      <c r="G149" s="9">
        <v>45</v>
      </c>
      <c r="H149" s="9">
        <v>45</v>
      </c>
      <c r="I149" s="9">
        <v>45</v>
      </c>
      <c r="J149" s="8"/>
      <c r="K149" s="10">
        <f>IF(COUNT(E149:J149)=0,"",MIN(E149:J149))</f>
      </c>
      <c r="L149" s="10">
        <f>IF(COUNT(E149:J149)=0,"",MAX(E149:J149))</f>
      </c>
      <c r="M149" s="5">
        <f>COUNT(E149:J149)</f>
      </c>
      <c r="N149" s="11">
        <f>IF(COUNT(E149:J149)=0,"",MEDIAN(E149:J149))</f>
      </c>
      <c r="O149" s="8"/>
      <c r="P149" s="12">
        <f>IF(OR(O149="",N149=""),"",1-O149/N149)</f>
      </c>
      <c r="Q149" s="5" t="s">
        <v>2</v>
      </c>
      <c r="R149" s="13"/>
      <c r="S149" s="6"/>
      <c r="T149" s="11">
        <f>IF(R149&lt;&gt;"",R149/(1-IF(S149&lt;&gt;"",S149,$E$3)),IF(N149="","",N149*(1+$B$3)))</f>
      </c>
    </row>
    <row r="150" spans="1:20" x14ac:dyDescent="0.25">
      <c r="A150" s="14" t="s">
        <v>320</v>
      </c>
      <c r="B150" s="14" t="s">
        <v>321</v>
      </c>
      <c r="C150" s="14" t="s">
        <v>322</v>
      </c>
      <c r="D150" s="14" t="s">
        <v>178</v>
      </c>
      <c r="E150" s="15">
        <v>217.8</v>
      </c>
      <c r="F150" s="18"/>
      <c r="G150" s="18"/>
      <c r="H150" s="18"/>
      <c r="I150" s="18"/>
      <c r="J150" s="18"/>
      <c r="K150" s="16">
        <f>IF(COUNT(E150:J150)=0,"",MIN(E150:J150))</f>
      </c>
      <c r="L150" s="16">
        <f>IF(COUNT(E150:J150)=0,"",MAX(E150:J150))</f>
      </c>
      <c r="M150" s="14">
        <f>COUNT(E150:J150)</f>
      </c>
      <c r="N150" s="17">
        <f>IF(COUNT(E150:J150)=0,"",MEDIAN(E150:J150))</f>
      </c>
      <c r="O150" s="18"/>
      <c r="P150" s="19">
        <f>IF(OR(O150="",N150=""),"",1-O150/N150)</f>
      </c>
      <c r="Q150" s="14" t="s">
        <v>2</v>
      </c>
      <c r="R150" s="13"/>
      <c r="S150" s="6"/>
      <c r="T150" s="11">
        <f>IF(R150&lt;&gt;"",R150/(1-IF(S150&lt;&gt;"",S150,$E$3)),IF(N150="","",N150*(1+$B$3)))</f>
      </c>
    </row>
    <row r="151" spans="1:20" x14ac:dyDescent="0.25">
      <c r="A151" s="14" t="s">
        <v>320</v>
      </c>
      <c r="B151" s="14" t="s">
        <v>321</v>
      </c>
      <c r="C151" s="14" t="s">
        <v>323</v>
      </c>
      <c r="D151" s="14" t="s">
        <v>178</v>
      </c>
      <c r="E151" s="18"/>
      <c r="F151" s="18"/>
      <c r="G151" s="18"/>
      <c r="H151" s="15">
        <v>217.8</v>
      </c>
      <c r="I151" s="18"/>
      <c r="J151" s="18"/>
      <c r="K151" s="16">
        <f>IF(COUNT(E151:J151)=0,"",MIN(E151:J151))</f>
      </c>
      <c r="L151" s="16">
        <f>IF(COUNT(E151:J151)=0,"",MAX(E151:J151))</f>
      </c>
      <c r="M151" s="14">
        <f>COUNT(E151:J151)</f>
      </c>
      <c r="N151" s="17">
        <f>IF(COUNT(E151:J151)=0,"",MEDIAN(E151:J151))</f>
      </c>
      <c r="O151" s="18"/>
      <c r="P151" s="19">
        <f>IF(OR(O151="",N151=""),"",1-O151/N151)</f>
      </c>
      <c r="Q151" s="14" t="s">
        <v>2</v>
      </c>
      <c r="R151" s="13"/>
      <c r="S151" s="6"/>
      <c r="T151" s="11">
        <f>IF(R151&lt;&gt;"",R151/(1-IF(S151&lt;&gt;"",S151,$E$3)),IF(N151="","",N151*(1+$B$3)))</f>
      </c>
    </row>
    <row r="152" spans="1:20" x14ac:dyDescent="0.25">
      <c r="A152" s="14" t="s">
        <v>320</v>
      </c>
      <c r="B152" s="14" t="s">
        <v>324</v>
      </c>
      <c r="C152" s="14" t="s">
        <v>325</v>
      </c>
      <c r="D152" s="14" t="s">
        <v>85</v>
      </c>
      <c r="E152" s="15">
        <v>2256</v>
      </c>
      <c r="F152" s="18"/>
      <c r="G152" s="18"/>
      <c r="H152" s="18"/>
      <c r="I152" s="18"/>
      <c r="J152" s="15">
        <v>2256</v>
      </c>
      <c r="K152" s="16">
        <f>IF(COUNT(E152:J152)=0,"",MIN(E152:J152))</f>
      </c>
      <c r="L152" s="16">
        <f>IF(COUNT(E152:J152)=0,"",MAX(E152:J152))</f>
      </c>
      <c r="M152" s="14">
        <f>COUNT(E152:J152)</f>
      </c>
      <c r="N152" s="17">
        <f>IF(COUNT(E152:J152)=0,"",MEDIAN(E152:J152))</f>
      </c>
      <c r="O152" s="18"/>
      <c r="P152" s="19">
        <f>IF(OR(O152="",N152=""),"",1-O152/N152)</f>
      </c>
      <c r="Q152" s="14" t="s">
        <v>2</v>
      </c>
      <c r="R152" s="13"/>
      <c r="S152" s="6"/>
      <c r="T152" s="11">
        <f>IF(R152&lt;&gt;"",R152/(1-IF(S152&lt;&gt;"",S152,$E$3)),IF(N152="","",N152*(1+$B$3)))</f>
      </c>
    </row>
    <row r="153" spans="1:20" x14ac:dyDescent="0.25">
      <c r="A153" s="14" t="s">
        <v>320</v>
      </c>
      <c r="B153" s="14" t="s">
        <v>324</v>
      </c>
      <c r="C153" s="14" t="s">
        <v>326</v>
      </c>
      <c r="D153" s="14" t="s">
        <v>85</v>
      </c>
      <c r="E153" s="18"/>
      <c r="F153" s="18"/>
      <c r="G153" s="18"/>
      <c r="H153" s="15">
        <v>1586.32</v>
      </c>
      <c r="I153" s="18"/>
      <c r="J153" s="18"/>
      <c r="K153" s="16">
        <f>IF(COUNT(E153:J153)=0,"",MIN(E153:J153))</f>
      </c>
      <c r="L153" s="16">
        <f>IF(COUNT(E153:J153)=0,"",MAX(E153:J153))</f>
      </c>
      <c r="M153" s="14">
        <f>COUNT(E153:J153)</f>
      </c>
      <c r="N153" s="17">
        <f>IF(COUNT(E153:J153)=0,"",MEDIAN(E153:J153))</f>
      </c>
      <c r="O153" s="18"/>
      <c r="P153" s="19">
        <f>IF(OR(O153="",N153=""),"",1-O153/N153)</f>
      </c>
      <c r="Q153" s="14" t="s">
        <v>2</v>
      </c>
      <c r="R153" s="13"/>
      <c r="S153" s="6"/>
      <c r="T153" s="11">
        <f>IF(R153&lt;&gt;"",R153/(1-IF(S153&lt;&gt;"",S153,$E$3)),IF(N153="","",N153*(1+$B$3)))</f>
      </c>
    </row>
    <row r="154" spans="1:20" x14ac:dyDescent="0.25">
      <c r="A154" s="14" t="s">
        <v>320</v>
      </c>
      <c r="B154" s="14" t="s">
        <v>327</v>
      </c>
      <c r="C154" s="14" t="s">
        <v>328</v>
      </c>
      <c r="D154" s="14" t="s">
        <v>329</v>
      </c>
      <c r="E154" s="18"/>
      <c r="F154" s="15">
        <v>10</v>
      </c>
      <c r="G154" s="15">
        <v>10</v>
      </c>
      <c r="H154" s="18"/>
      <c r="I154" s="18"/>
      <c r="J154" s="18"/>
      <c r="K154" s="16">
        <f>IF(COUNT(E154:J154)=0,"",MIN(E154:J154))</f>
      </c>
      <c r="L154" s="16">
        <f>IF(COUNT(E154:J154)=0,"",MAX(E154:J154))</f>
      </c>
      <c r="M154" s="14">
        <f>COUNT(E154:J154)</f>
      </c>
      <c r="N154" s="17">
        <f>IF(COUNT(E154:J154)=0,"",MEDIAN(E154:J154))</f>
      </c>
      <c r="O154" s="18"/>
      <c r="P154" s="19">
        <f>IF(OR(O154="",N154=""),"",1-O154/N154)</f>
      </c>
      <c r="Q154" s="14" t="s">
        <v>2</v>
      </c>
      <c r="R154" s="13"/>
      <c r="S154" s="6"/>
      <c r="T154" s="11">
        <f>IF(R154&lt;&gt;"",R154/(1-IF(S154&lt;&gt;"",S154,$E$3)),IF(N154="","",N154*(1+$B$3)))</f>
      </c>
    </row>
    <row r="155" spans="1:20" x14ac:dyDescent="0.25">
      <c r="A155" s="14" t="s">
        <v>320</v>
      </c>
      <c r="B155" s="14" t="s">
        <v>330</v>
      </c>
      <c r="C155" s="14" t="s">
        <v>331</v>
      </c>
      <c r="D155" s="14" t="s">
        <v>85</v>
      </c>
      <c r="E155" s="18"/>
      <c r="F155" s="15">
        <v>524</v>
      </c>
      <c r="G155" s="15">
        <v>524</v>
      </c>
      <c r="H155" s="18"/>
      <c r="I155" s="18"/>
      <c r="J155" s="18"/>
      <c r="K155" s="16">
        <f>IF(COUNT(E155:J155)=0,"",MIN(E155:J155))</f>
      </c>
      <c r="L155" s="16">
        <f>IF(COUNT(E155:J155)=0,"",MAX(E155:J155))</f>
      </c>
      <c r="M155" s="14">
        <f>COUNT(E155:J155)</f>
      </c>
      <c r="N155" s="17">
        <f>IF(COUNT(E155:J155)=0,"",MEDIAN(E155:J155))</f>
      </c>
      <c r="O155" s="18"/>
      <c r="P155" s="19">
        <f>IF(OR(O155="",N155=""),"",1-O155/N155)</f>
      </c>
      <c r="Q155" s="14" t="s">
        <v>2</v>
      </c>
      <c r="R155" s="13"/>
      <c r="S155" s="6"/>
      <c r="T155" s="11">
        <f>IF(R155&lt;&gt;"",R155/(1-IF(S155&lt;&gt;"",S155,$E$3)),IF(N155="","",N155*(1+$B$3)))</f>
      </c>
    </row>
    <row r="156" spans="1:20" x14ac:dyDescent="0.25">
      <c r="A156" s="14" t="s">
        <v>320</v>
      </c>
      <c r="B156" s="14" t="s">
        <v>332</v>
      </c>
      <c r="C156" s="14" t="s">
        <v>333</v>
      </c>
      <c r="D156" s="14" t="s">
        <v>2</v>
      </c>
      <c r="E156" s="18"/>
      <c r="F156" s="18"/>
      <c r="G156" s="18"/>
      <c r="H156" s="18"/>
      <c r="I156" s="15">
        <v>524</v>
      </c>
      <c r="J156" s="18"/>
      <c r="K156" s="16">
        <f>IF(COUNT(E156:J156)=0,"",MIN(E156:J156))</f>
      </c>
      <c r="L156" s="16">
        <f>IF(COUNT(E156:J156)=0,"",MAX(E156:J156))</f>
      </c>
      <c r="M156" s="14">
        <f>COUNT(E156:J156)</f>
      </c>
      <c r="N156" s="17">
        <f>IF(COUNT(E156:J156)=0,"",MEDIAN(E156:J156))</f>
      </c>
      <c r="O156" s="18"/>
      <c r="P156" s="19">
        <f>IF(OR(O156="",N156=""),"",1-O156/N156)</f>
      </c>
      <c r="Q156" s="14" t="s">
        <v>2</v>
      </c>
      <c r="R156" s="13"/>
      <c r="S156" s="6"/>
      <c r="T156" s="11">
        <f>IF(R156&lt;&gt;"",R156/(1-IF(S156&lt;&gt;"",S156,$E$3)),IF(N156="","",N156*(1+$B$3)))</f>
      </c>
    </row>
    <row r="157" spans="1:20" x14ac:dyDescent="0.25">
      <c r="A157" s="14" t="s">
        <v>320</v>
      </c>
      <c r="B157" s="14" t="s">
        <v>334</v>
      </c>
      <c r="C157" s="14" t="s">
        <v>335</v>
      </c>
      <c r="D157" s="14" t="s">
        <v>2</v>
      </c>
      <c r="E157" s="18"/>
      <c r="F157" s="18"/>
      <c r="G157" s="18"/>
      <c r="H157" s="18"/>
      <c r="I157" s="15">
        <v>10</v>
      </c>
      <c r="J157" s="18"/>
      <c r="K157" s="16">
        <f>IF(COUNT(E157:J157)=0,"",MIN(E157:J157))</f>
      </c>
      <c r="L157" s="16">
        <f>IF(COUNT(E157:J157)=0,"",MAX(E157:J157))</f>
      </c>
      <c r="M157" s="14">
        <f>COUNT(E157:J157)</f>
      </c>
      <c r="N157" s="17">
        <f>IF(COUNT(E157:J157)=0,"",MEDIAN(E157:J157))</f>
      </c>
      <c r="O157" s="18"/>
      <c r="P157" s="19">
        <f>IF(OR(O157="",N157=""),"",1-O157/N157)</f>
      </c>
      <c r="Q157" s="14" t="s">
        <v>2</v>
      </c>
      <c r="R157" s="13"/>
      <c r="S157" s="6"/>
      <c r="T157" s="11">
        <f>IF(R157&lt;&gt;"",R157/(1-IF(S157&lt;&gt;"",S157,$E$3)),IF(N157="","",N157*(1+$B$3)))</f>
      </c>
    </row>
    <row r="158" spans="1:20" x14ac:dyDescent="0.25">
      <c r="A158" s="14" t="s">
        <v>320</v>
      </c>
      <c r="B158" s="14" t="s">
        <v>336</v>
      </c>
      <c r="C158" s="14" t="s">
        <v>337</v>
      </c>
      <c r="D158" s="14" t="s">
        <v>2</v>
      </c>
      <c r="E158" s="18"/>
      <c r="F158" s="15">
        <v>1610</v>
      </c>
      <c r="G158" s="15">
        <v>1610</v>
      </c>
      <c r="H158" s="18"/>
      <c r="I158" s="18"/>
      <c r="J158" s="18"/>
      <c r="K158" s="16">
        <f>IF(COUNT(E158:J158)=0,"",MIN(E158:J158))</f>
      </c>
      <c r="L158" s="16">
        <f>IF(COUNT(E158:J158)=0,"",MAX(E158:J158))</f>
      </c>
      <c r="M158" s="14">
        <f>COUNT(E158:J158)</f>
      </c>
      <c r="N158" s="17">
        <f>IF(COUNT(E158:J158)=0,"",MEDIAN(E158:J158))</f>
      </c>
      <c r="O158" s="18"/>
      <c r="P158" s="19">
        <f>IF(OR(O158="",N158=""),"",1-O158/N158)</f>
      </c>
      <c r="Q158" s="14" t="s">
        <v>2</v>
      </c>
      <c r="R158" s="13"/>
      <c r="S158" s="6"/>
      <c r="T158" s="11">
        <f>IF(R158&lt;&gt;"",R158/(1-IF(S158&lt;&gt;"",S158,$E$3)),IF(N158="","",N158*(1+$B$3)))</f>
      </c>
    </row>
    <row r="159" spans="1:20" x14ac:dyDescent="0.25">
      <c r="A159" s="14" t="s">
        <v>320</v>
      </c>
      <c r="B159" s="14" t="s">
        <v>338</v>
      </c>
      <c r="C159" s="14" t="s">
        <v>339</v>
      </c>
      <c r="D159" s="14" t="s">
        <v>31</v>
      </c>
      <c r="E159" s="15">
        <v>1786.35</v>
      </c>
      <c r="F159" s="18"/>
      <c r="G159" s="18"/>
      <c r="H159" s="18"/>
      <c r="I159" s="18"/>
      <c r="J159" s="18"/>
      <c r="K159" s="16">
        <f>IF(COUNT(E159:J159)=0,"",MIN(E159:J159))</f>
      </c>
      <c r="L159" s="16">
        <f>IF(COUNT(E159:J159)=0,"",MAX(E159:J159))</f>
      </c>
      <c r="M159" s="14">
        <f>COUNT(E159:J159)</f>
      </c>
      <c r="N159" s="17">
        <f>IF(COUNT(E159:J159)=0,"",MEDIAN(E159:J159))</f>
      </c>
      <c r="O159" s="18"/>
      <c r="P159" s="19">
        <f>IF(OR(O159="",N159=""),"",1-O159/N159)</f>
      </c>
      <c r="Q159" s="14" t="s">
        <v>2</v>
      </c>
      <c r="R159" s="13"/>
      <c r="S159" s="6"/>
      <c r="T159" s="11">
        <f>IF(R159&lt;&gt;"",R159/(1-IF(S159&lt;&gt;"",S159,$E$3)),IF(N159="","",N159*(1+$B$3)))</f>
      </c>
    </row>
    <row r="160" spans="1:20" x14ac:dyDescent="0.25">
      <c r="A160" s="5" t="s">
        <v>340</v>
      </c>
      <c r="B160" s="5" t="s">
        <v>341</v>
      </c>
      <c r="C160" s="5" t="s">
        <v>342</v>
      </c>
      <c r="D160" s="5" t="s">
        <v>85</v>
      </c>
      <c r="E160" s="9">
        <v>420</v>
      </c>
      <c r="F160" s="8"/>
      <c r="G160" s="8"/>
      <c r="H160" s="9">
        <v>420</v>
      </c>
      <c r="I160" s="9">
        <v>420</v>
      </c>
      <c r="J160" s="8"/>
      <c r="K160" s="10">
        <f>IF(COUNT(E160:J160)=0,"",MIN(E160:J160))</f>
      </c>
      <c r="L160" s="10">
        <f>IF(COUNT(E160:J160)=0,"",MAX(E160:J160))</f>
      </c>
      <c r="M160" s="5">
        <f>COUNT(E160:J160)</f>
      </c>
      <c r="N160" s="11">
        <f>IF(COUNT(E160:J160)=0,"",MEDIAN(E160:J160))</f>
      </c>
      <c r="O160" s="8"/>
      <c r="P160" s="12">
        <f>IF(OR(O160="",N160=""),"",1-O160/N160)</f>
      </c>
      <c r="Q160" s="5" t="s">
        <v>2</v>
      </c>
      <c r="R160" s="13"/>
      <c r="S160" s="6"/>
      <c r="T160" s="11">
        <f>IF(R160&lt;&gt;"",R160/(1-IF(S160&lt;&gt;"",S160,$E$3)),IF(N160="","",N160*(1+$B$3)))</f>
      </c>
    </row>
    <row r="161" spans="1:20" x14ac:dyDescent="0.25">
      <c r="A161" s="5" t="s">
        <v>340</v>
      </c>
      <c r="B161" s="5" t="s">
        <v>343</v>
      </c>
      <c r="C161" s="5" t="s">
        <v>344</v>
      </c>
      <c r="D161" s="5" t="s">
        <v>85</v>
      </c>
      <c r="E161" s="9">
        <v>545</v>
      </c>
      <c r="F161" s="8"/>
      <c r="G161" s="8"/>
      <c r="H161" s="9">
        <v>545</v>
      </c>
      <c r="I161" s="8"/>
      <c r="J161" s="8"/>
      <c r="K161" s="10">
        <f>IF(COUNT(E161:J161)=0,"",MIN(E161:J161))</f>
      </c>
      <c r="L161" s="10">
        <f>IF(COUNT(E161:J161)=0,"",MAX(E161:J161))</f>
      </c>
      <c r="M161" s="5">
        <f>COUNT(E161:J161)</f>
      </c>
      <c r="N161" s="11">
        <f>IF(COUNT(E161:J161)=0,"",MEDIAN(E161:J161))</f>
      </c>
      <c r="O161" s="8"/>
      <c r="P161" s="12">
        <f>IF(OR(O161="",N161=""),"",1-O161/N161)</f>
      </c>
      <c r="Q161" s="5" t="s">
        <v>2</v>
      </c>
      <c r="R161" s="13"/>
      <c r="S161" s="6"/>
      <c r="T161" s="11">
        <f>IF(R161&lt;&gt;"",R161/(1-IF(S161&lt;&gt;"",S161,$E$3)),IF(N161="","",N161*(1+$B$3)))</f>
      </c>
    </row>
    <row r="162" spans="1:20" x14ac:dyDescent="0.25">
      <c r="A162" s="14" t="s">
        <v>345</v>
      </c>
      <c r="B162" s="14" t="s">
        <v>346</v>
      </c>
      <c r="C162" s="14" t="s">
        <v>347</v>
      </c>
      <c r="D162" s="14" t="s">
        <v>155</v>
      </c>
      <c r="E162" s="15">
        <v>140</v>
      </c>
      <c r="F162" s="18"/>
      <c r="G162" s="18"/>
      <c r="H162" s="15">
        <v>140</v>
      </c>
      <c r="I162" s="18"/>
      <c r="J162" s="18"/>
      <c r="K162" s="16">
        <f>IF(COUNT(E162:J162)=0,"",MIN(E162:J162))</f>
      </c>
      <c r="L162" s="16">
        <f>IF(COUNT(E162:J162)=0,"",MAX(E162:J162))</f>
      </c>
      <c r="M162" s="14">
        <f>COUNT(E162:J162)</f>
      </c>
      <c r="N162" s="17">
        <f>IF(COUNT(E162:J162)=0,"",MEDIAN(E162:J162))</f>
      </c>
      <c r="O162" s="18"/>
      <c r="P162" s="19">
        <f>IF(OR(O162="",N162=""),"",1-O162/N162)</f>
      </c>
      <c r="Q162" s="14" t="s">
        <v>2</v>
      </c>
      <c r="R162" s="13"/>
      <c r="S162" s="6"/>
      <c r="T162" s="11">
        <f>IF(R162&lt;&gt;"",R162/(1-IF(S162&lt;&gt;"",S162,$E$3)),IF(N162="","",N162*(1+$B$3)))</f>
      </c>
    </row>
    <row r="163" spans="1:20" x14ac:dyDescent="0.25">
      <c r="A163" s="14" t="s">
        <v>345</v>
      </c>
      <c r="B163" s="14" t="s">
        <v>348</v>
      </c>
      <c r="C163" s="14" t="s">
        <v>349</v>
      </c>
      <c r="D163" s="14" t="s">
        <v>155</v>
      </c>
      <c r="E163" s="15">
        <v>115</v>
      </c>
      <c r="F163" s="18"/>
      <c r="G163" s="18"/>
      <c r="H163" s="18"/>
      <c r="I163" s="18"/>
      <c r="J163" s="18"/>
      <c r="K163" s="16">
        <f>IF(COUNT(E163:J163)=0,"",MIN(E163:J163))</f>
      </c>
      <c r="L163" s="16">
        <f>IF(COUNT(E163:J163)=0,"",MAX(E163:J163))</f>
      </c>
      <c r="M163" s="14">
        <f>COUNT(E163:J163)</f>
      </c>
      <c r="N163" s="17">
        <f>IF(COUNT(E163:J163)=0,"",MEDIAN(E163:J163))</f>
      </c>
      <c r="O163" s="18"/>
      <c r="P163" s="19">
        <f>IF(OR(O163="",N163=""),"",1-O163/N163)</f>
      </c>
      <c r="Q163" s="14" t="s">
        <v>2</v>
      </c>
      <c r="R163" s="13"/>
      <c r="S163" s="6"/>
      <c r="T163" s="11">
        <f>IF(R163&lt;&gt;"",R163/(1-IF(S163&lt;&gt;"",S163,$E$3)),IF(N163="","",N163*(1+$B$3)))</f>
      </c>
    </row>
    <row r="164" spans="1:20" x14ac:dyDescent="0.25">
      <c r="A164" s="14" t="s">
        <v>345</v>
      </c>
      <c r="B164" s="14" t="s">
        <v>348</v>
      </c>
      <c r="C164" s="14" t="s">
        <v>350</v>
      </c>
      <c r="D164" s="14" t="s">
        <v>155</v>
      </c>
      <c r="E164" s="18"/>
      <c r="F164" s="18"/>
      <c r="G164" s="18"/>
      <c r="H164" s="15">
        <v>115</v>
      </c>
      <c r="I164" s="18"/>
      <c r="J164" s="18"/>
      <c r="K164" s="16">
        <f>IF(COUNT(E164:J164)=0,"",MIN(E164:J164))</f>
      </c>
      <c r="L164" s="16">
        <f>IF(COUNT(E164:J164)=0,"",MAX(E164:J164))</f>
      </c>
      <c r="M164" s="14">
        <f>COUNT(E164:J164)</f>
      </c>
      <c r="N164" s="17">
        <f>IF(COUNT(E164:J164)=0,"",MEDIAN(E164:J164))</f>
      </c>
      <c r="O164" s="18"/>
      <c r="P164" s="19">
        <f>IF(OR(O164="",N164=""),"",1-O164/N164)</f>
      </c>
      <c r="Q164" s="14" t="s">
        <v>2</v>
      </c>
      <c r="R164" s="13"/>
      <c r="S164" s="6"/>
      <c r="T164" s="11">
        <f>IF(R164&lt;&gt;"",R164/(1-IF(S164&lt;&gt;"",S164,$E$3)),IF(N164="","",N164*(1+$B$3)))</f>
      </c>
    </row>
    <row r="165" spans="1:20" x14ac:dyDescent="0.25">
      <c r="A165" s="14" t="s">
        <v>345</v>
      </c>
      <c r="B165" s="14" t="s">
        <v>351</v>
      </c>
      <c r="C165" s="14" t="s">
        <v>352</v>
      </c>
      <c r="D165" s="14" t="s">
        <v>155</v>
      </c>
      <c r="E165" s="15">
        <v>76</v>
      </c>
      <c r="F165" s="18"/>
      <c r="G165" s="18"/>
      <c r="H165" s="18"/>
      <c r="I165" s="18"/>
      <c r="J165" s="18"/>
      <c r="K165" s="16">
        <f>IF(COUNT(E165:J165)=0,"",MIN(E165:J165))</f>
      </c>
      <c r="L165" s="16">
        <f>IF(COUNT(E165:J165)=0,"",MAX(E165:J165))</f>
      </c>
      <c r="M165" s="14">
        <f>COUNT(E165:J165)</f>
      </c>
      <c r="N165" s="17">
        <f>IF(COUNT(E165:J165)=0,"",MEDIAN(E165:J165))</f>
      </c>
      <c r="O165" s="18"/>
      <c r="P165" s="19">
        <f>IF(OR(O165="",N165=""),"",1-O165/N165)</f>
      </c>
      <c r="Q165" s="14" t="s">
        <v>2</v>
      </c>
      <c r="R165" s="13"/>
      <c r="S165" s="6"/>
      <c r="T165" s="11">
        <f>IF(R165&lt;&gt;"",R165/(1-IF(S165&lt;&gt;"",S165,$E$3)),IF(N165="","",N165*(1+$B$3)))</f>
      </c>
    </row>
    <row r="166" spans="1:20" x14ac:dyDescent="0.25">
      <c r="A166" s="14" t="s">
        <v>345</v>
      </c>
      <c r="B166" s="14" t="s">
        <v>351</v>
      </c>
      <c r="C166" s="14" t="s">
        <v>353</v>
      </c>
      <c r="D166" s="14" t="s">
        <v>155</v>
      </c>
      <c r="E166" s="18"/>
      <c r="F166" s="18"/>
      <c r="G166" s="18"/>
      <c r="H166" s="15">
        <v>76</v>
      </c>
      <c r="I166" s="18"/>
      <c r="J166" s="18"/>
      <c r="K166" s="16">
        <f>IF(COUNT(E166:J166)=0,"",MIN(E166:J166))</f>
      </c>
      <c r="L166" s="16">
        <f>IF(COUNT(E166:J166)=0,"",MAX(E166:J166))</f>
      </c>
      <c r="M166" s="14">
        <f>COUNT(E166:J166)</f>
      </c>
      <c r="N166" s="17">
        <f>IF(COUNT(E166:J166)=0,"",MEDIAN(E166:J166))</f>
      </c>
      <c r="O166" s="18"/>
      <c r="P166" s="19">
        <f>IF(OR(O166="",N166=""),"",1-O166/N166)</f>
      </c>
      <c r="Q166" s="14" t="s">
        <v>2</v>
      </c>
      <c r="R166" s="13"/>
      <c r="S166" s="6"/>
      <c r="T166" s="11">
        <f>IF(R166&lt;&gt;"",R166/(1-IF(S166&lt;&gt;"",S166,$E$3)),IF(N166="","",N166*(1+$B$3)))</f>
      </c>
    </row>
    <row r="167" spans="1:20" x14ac:dyDescent="0.25">
      <c r="A167" s="14" t="s">
        <v>345</v>
      </c>
      <c r="B167" s="14" t="s">
        <v>354</v>
      </c>
      <c r="C167" s="14" t="s">
        <v>355</v>
      </c>
      <c r="D167" s="14" t="s">
        <v>155</v>
      </c>
      <c r="E167" s="18"/>
      <c r="F167" s="15">
        <v>106.23</v>
      </c>
      <c r="G167" s="15">
        <v>106.23</v>
      </c>
      <c r="H167" s="18"/>
      <c r="I167" s="18"/>
      <c r="J167" s="18"/>
      <c r="K167" s="16">
        <f>IF(COUNT(E167:J167)=0,"",MIN(E167:J167))</f>
      </c>
      <c r="L167" s="16">
        <f>IF(COUNT(E167:J167)=0,"",MAX(E167:J167))</f>
      </c>
      <c r="M167" s="14">
        <f>COUNT(E167:J167)</f>
      </c>
      <c r="N167" s="17">
        <f>IF(COUNT(E167:J167)=0,"",MEDIAN(E167:J167))</f>
      </c>
      <c r="O167" s="18"/>
      <c r="P167" s="19">
        <f>IF(OR(O167="",N167=""),"",1-O167/N167)</f>
      </c>
      <c r="Q167" s="14" t="s">
        <v>2</v>
      </c>
      <c r="R167" s="13"/>
      <c r="S167" s="6"/>
      <c r="T167" s="11">
        <f>IF(R167&lt;&gt;"",R167/(1-IF(S167&lt;&gt;"",S167,$E$3)),IF(N167="","",N167*(1+$B$3)))</f>
      </c>
    </row>
    <row r="168" spans="1:20" x14ac:dyDescent="0.25">
      <c r="A168" s="14" t="s">
        <v>345</v>
      </c>
      <c r="B168" s="14" t="s">
        <v>356</v>
      </c>
      <c r="C168" s="14" t="s">
        <v>357</v>
      </c>
      <c r="D168" s="14" t="s">
        <v>155</v>
      </c>
      <c r="E168" s="15">
        <v>45</v>
      </c>
      <c r="F168" s="18"/>
      <c r="G168" s="18"/>
      <c r="H168" s="18"/>
      <c r="I168" s="18"/>
      <c r="J168" s="18"/>
      <c r="K168" s="16">
        <f>IF(COUNT(E168:J168)=0,"",MIN(E168:J168))</f>
      </c>
      <c r="L168" s="16">
        <f>IF(COUNT(E168:J168)=0,"",MAX(E168:J168))</f>
      </c>
      <c r="M168" s="14">
        <f>COUNT(E168:J168)</f>
      </c>
      <c r="N168" s="17">
        <f>IF(COUNT(E168:J168)=0,"",MEDIAN(E168:J168))</f>
      </c>
      <c r="O168" s="18"/>
      <c r="P168" s="19">
        <f>IF(OR(O168="",N168=""),"",1-O168/N168)</f>
      </c>
      <c r="Q168" s="14" t="s">
        <v>2</v>
      </c>
      <c r="R168" s="13"/>
      <c r="S168" s="6"/>
      <c r="T168" s="11">
        <f>IF(R168&lt;&gt;"",R168/(1-IF(S168&lt;&gt;"",S168,$E$3)),IF(N168="","",N168*(1+$B$3)))</f>
      </c>
    </row>
    <row r="169" spans="1:20" x14ac:dyDescent="0.25">
      <c r="A169" s="14" t="s">
        <v>345</v>
      </c>
      <c r="B169" s="14" t="s">
        <v>356</v>
      </c>
      <c r="C169" s="14" t="s">
        <v>358</v>
      </c>
      <c r="D169" s="14" t="s">
        <v>155</v>
      </c>
      <c r="E169" s="18"/>
      <c r="F169" s="18"/>
      <c r="G169" s="18"/>
      <c r="H169" s="15">
        <v>45</v>
      </c>
      <c r="I169" s="15">
        <v>45</v>
      </c>
      <c r="J169" s="18"/>
      <c r="K169" s="16">
        <f>IF(COUNT(E169:J169)=0,"",MIN(E169:J169))</f>
      </c>
      <c r="L169" s="16">
        <f>IF(COUNT(E169:J169)=0,"",MAX(E169:J169))</f>
      </c>
      <c r="M169" s="14">
        <f>COUNT(E169:J169)</f>
      </c>
      <c r="N169" s="17">
        <f>IF(COUNT(E169:J169)=0,"",MEDIAN(E169:J169))</f>
      </c>
      <c r="O169" s="18"/>
      <c r="P169" s="19">
        <f>IF(OR(O169="",N169=""),"",1-O169/N169)</f>
      </c>
      <c r="Q169" s="14" t="s">
        <v>2</v>
      </c>
      <c r="R169" s="13"/>
      <c r="S169" s="6"/>
      <c r="T169" s="11">
        <f>IF(R169&lt;&gt;"",R169/(1-IF(S169&lt;&gt;"",S169,$E$3)),IF(N169="","",N169*(1+$B$3)))</f>
      </c>
    </row>
    <row r="170" spans="1:20" x14ac:dyDescent="0.25">
      <c r="A170" s="14" t="s">
        <v>345</v>
      </c>
      <c r="B170" s="14" t="s">
        <v>359</v>
      </c>
      <c r="C170" s="14" t="s">
        <v>360</v>
      </c>
      <c r="D170" s="14" t="s">
        <v>155</v>
      </c>
      <c r="E170" s="15">
        <v>46</v>
      </c>
      <c r="F170" s="18"/>
      <c r="G170" s="18"/>
      <c r="H170" s="18"/>
      <c r="I170" s="18"/>
      <c r="J170" s="18"/>
      <c r="K170" s="16">
        <f>IF(COUNT(E170:J170)=0,"",MIN(E170:J170))</f>
      </c>
      <c r="L170" s="16">
        <f>IF(COUNT(E170:J170)=0,"",MAX(E170:J170))</f>
      </c>
      <c r="M170" s="14">
        <f>COUNT(E170:J170)</f>
      </c>
      <c r="N170" s="17">
        <f>IF(COUNT(E170:J170)=0,"",MEDIAN(E170:J170))</f>
      </c>
      <c r="O170" s="18"/>
      <c r="P170" s="19">
        <f>IF(OR(O170="",N170=""),"",1-O170/N170)</f>
      </c>
      <c r="Q170" s="14" t="s">
        <v>2</v>
      </c>
      <c r="R170" s="13"/>
      <c r="S170" s="6"/>
      <c r="T170" s="11">
        <f>IF(R170&lt;&gt;"",R170/(1-IF(S170&lt;&gt;"",S170,$E$3)),IF(N170="","",N170*(1+$B$3)))</f>
      </c>
    </row>
    <row r="171" spans="1:20" x14ac:dyDescent="0.25">
      <c r="A171" s="14" t="s">
        <v>345</v>
      </c>
      <c r="B171" s="14" t="s">
        <v>359</v>
      </c>
      <c r="C171" s="14" t="s">
        <v>358</v>
      </c>
      <c r="D171" s="14" t="s">
        <v>155</v>
      </c>
      <c r="E171" s="18"/>
      <c r="F171" s="18"/>
      <c r="G171" s="18"/>
      <c r="H171" s="15">
        <v>46</v>
      </c>
      <c r="I171" s="18"/>
      <c r="J171" s="18"/>
      <c r="K171" s="16">
        <f>IF(COUNT(E171:J171)=0,"",MIN(E171:J171))</f>
      </c>
      <c r="L171" s="16">
        <f>IF(COUNT(E171:J171)=0,"",MAX(E171:J171))</f>
      </c>
      <c r="M171" s="14">
        <f>COUNT(E171:J171)</f>
      </c>
      <c r="N171" s="17">
        <f>IF(COUNT(E171:J171)=0,"",MEDIAN(E171:J171))</f>
      </c>
      <c r="O171" s="18"/>
      <c r="P171" s="19">
        <f>IF(OR(O171="",N171=""),"",1-O171/N171)</f>
      </c>
      <c r="Q171" s="14" t="s">
        <v>2</v>
      </c>
      <c r="R171" s="13"/>
      <c r="S171" s="6"/>
      <c r="T171" s="11">
        <f>IF(R171&lt;&gt;"",R171/(1-IF(S171&lt;&gt;"",S171,$E$3)),IF(N171="","",N171*(1+$B$3)))</f>
      </c>
    </row>
    <row r="172" spans="1:20" x14ac:dyDescent="0.25">
      <c r="A172" s="14" t="s">
        <v>345</v>
      </c>
      <c r="B172" s="14" t="s">
        <v>359</v>
      </c>
      <c r="C172" s="14" t="s">
        <v>361</v>
      </c>
      <c r="D172" s="14" t="s">
        <v>155</v>
      </c>
      <c r="E172" s="18"/>
      <c r="F172" s="18"/>
      <c r="G172" s="18"/>
      <c r="H172" s="18"/>
      <c r="I172" s="18"/>
      <c r="J172" s="15">
        <v>46</v>
      </c>
      <c r="K172" s="16">
        <f>IF(COUNT(E172:J172)=0,"",MIN(E172:J172))</f>
      </c>
      <c r="L172" s="16">
        <f>IF(COUNT(E172:J172)=0,"",MAX(E172:J172))</f>
      </c>
      <c r="M172" s="14">
        <f>COUNT(E172:J172)</f>
      </c>
      <c r="N172" s="17">
        <f>IF(COUNT(E172:J172)=0,"",MEDIAN(E172:J172))</f>
      </c>
      <c r="O172" s="18"/>
      <c r="P172" s="19">
        <f>IF(OR(O172="",N172=""),"",1-O172/N172)</f>
      </c>
      <c r="Q172" s="14" t="s">
        <v>2</v>
      </c>
      <c r="R172" s="13"/>
      <c r="S172" s="6"/>
      <c r="T172" s="11">
        <f>IF(R172&lt;&gt;"",R172/(1-IF(S172&lt;&gt;"",S172,$E$3)),IF(N172="","",N172*(1+$B$3)))</f>
      </c>
    </row>
    <row r="173" spans="1:20" x14ac:dyDescent="0.25">
      <c r="A173" s="14" t="s">
        <v>345</v>
      </c>
      <c r="B173" s="14" t="s">
        <v>362</v>
      </c>
      <c r="C173" s="14" t="s">
        <v>363</v>
      </c>
      <c r="D173" s="14" t="s">
        <v>155</v>
      </c>
      <c r="E173" s="18"/>
      <c r="F173" s="15">
        <v>106.23</v>
      </c>
      <c r="G173" s="18"/>
      <c r="H173" s="18"/>
      <c r="I173" s="18"/>
      <c r="J173" s="18"/>
      <c r="K173" s="16">
        <f>IF(COUNT(E173:J173)=0,"",MIN(E173:J173))</f>
      </c>
      <c r="L173" s="16">
        <f>IF(COUNT(E173:J173)=0,"",MAX(E173:J173))</f>
      </c>
      <c r="M173" s="14">
        <f>COUNT(E173:J173)</f>
      </c>
      <c r="N173" s="17">
        <f>IF(COUNT(E173:J173)=0,"",MEDIAN(E173:J173))</f>
      </c>
      <c r="O173" s="18"/>
      <c r="P173" s="19">
        <f>IF(OR(O173="",N173=""),"",1-O173/N173)</f>
      </c>
      <c r="Q173" s="14" t="s">
        <v>2</v>
      </c>
      <c r="R173" s="13"/>
      <c r="S173" s="6"/>
      <c r="T173" s="11">
        <f>IF(R173&lt;&gt;"",R173/(1-IF(S173&lt;&gt;"",S173,$E$3)),IF(N173="","",N173*(1+$B$3)))</f>
      </c>
    </row>
    <row r="174" spans="1:20" x14ac:dyDescent="0.25">
      <c r="A174" s="14" t="s">
        <v>345</v>
      </c>
      <c r="B174" s="14" t="s">
        <v>364</v>
      </c>
      <c r="C174" s="14" t="s">
        <v>365</v>
      </c>
      <c r="D174" s="14" t="s">
        <v>155</v>
      </c>
      <c r="E174" s="18"/>
      <c r="F174" s="15">
        <v>7.8</v>
      </c>
      <c r="G174" s="18"/>
      <c r="H174" s="18"/>
      <c r="I174" s="18"/>
      <c r="J174" s="18"/>
      <c r="K174" s="16">
        <f>IF(COUNT(E174:J174)=0,"",MIN(E174:J174))</f>
      </c>
      <c r="L174" s="16">
        <f>IF(COUNT(E174:J174)=0,"",MAX(E174:J174))</f>
      </c>
      <c r="M174" s="14">
        <f>COUNT(E174:J174)</f>
      </c>
      <c r="N174" s="17">
        <f>IF(COUNT(E174:J174)=0,"",MEDIAN(E174:J174))</f>
      </c>
      <c r="O174" s="18"/>
      <c r="P174" s="19">
        <f>IF(OR(O174="",N174=""),"",1-O174/N174)</f>
      </c>
      <c r="Q174" s="14" t="s">
        <v>2</v>
      </c>
      <c r="R174" s="13"/>
      <c r="S174" s="6"/>
      <c r="T174" s="11">
        <f>IF(R174&lt;&gt;"",R174/(1-IF(S174&lt;&gt;"",S174,$E$3)),IF(N174="","",N174*(1+$B$3)))</f>
      </c>
    </row>
    <row r="175" spans="1:20" x14ac:dyDescent="0.25">
      <c r="A175" s="14" t="s">
        <v>345</v>
      </c>
      <c r="B175" s="14" t="s">
        <v>366</v>
      </c>
      <c r="C175" s="14" t="s">
        <v>367</v>
      </c>
      <c r="D175" s="14" t="s">
        <v>178</v>
      </c>
      <c r="E175" s="15">
        <v>35</v>
      </c>
      <c r="F175" s="15">
        <v>35</v>
      </c>
      <c r="G175" s="18"/>
      <c r="H175" s="15">
        <v>35</v>
      </c>
      <c r="I175" s="18"/>
      <c r="J175" s="18"/>
      <c r="K175" s="16">
        <f>IF(COUNT(E175:J175)=0,"",MIN(E175:J175))</f>
      </c>
      <c r="L175" s="16">
        <f>IF(COUNT(E175:J175)=0,"",MAX(E175:J175))</f>
      </c>
      <c r="M175" s="14">
        <f>COUNT(E175:J175)</f>
      </c>
      <c r="N175" s="17">
        <f>IF(COUNT(E175:J175)=0,"",MEDIAN(E175:J175))</f>
      </c>
      <c r="O175" s="18"/>
      <c r="P175" s="19">
        <f>IF(OR(O175="",N175=""),"",1-O175/N175)</f>
      </c>
      <c r="Q175" s="14" t="s">
        <v>2</v>
      </c>
      <c r="R175" s="13"/>
      <c r="S175" s="6"/>
      <c r="T175" s="11">
        <f>IF(R175&lt;&gt;"",R175/(1-IF(S175&lt;&gt;"",S175,$E$3)),IF(N175="","",N175*(1+$B$3)))</f>
      </c>
    </row>
    <row r="176" spans="1:20" x14ac:dyDescent="0.25">
      <c r="A176" s="14" t="s">
        <v>345</v>
      </c>
      <c r="B176" s="14" t="s">
        <v>368</v>
      </c>
      <c r="C176" s="14" t="s">
        <v>369</v>
      </c>
      <c r="D176" s="14" t="s">
        <v>178</v>
      </c>
      <c r="E176" s="15">
        <v>45</v>
      </c>
      <c r="F176" s="18"/>
      <c r="G176" s="18"/>
      <c r="H176" s="18"/>
      <c r="I176" s="18"/>
      <c r="J176" s="18"/>
      <c r="K176" s="16">
        <f>IF(COUNT(E176:J176)=0,"",MIN(E176:J176))</f>
      </c>
      <c r="L176" s="16">
        <f>IF(COUNT(E176:J176)=0,"",MAX(E176:J176))</f>
      </c>
      <c r="M176" s="14">
        <f>COUNT(E176:J176)</f>
      </c>
      <c r="N176" s="17">
        <f>IF(COUNT(E176:J176)=0,"",MEDIAN(E176:J176))</f>
      </c>
      <c r="O176" s="18"/>
      <c r="P176" s="19">
        <f>IF(OR(O176="",N176=""),"",1-O176/N176)</f>
      </c>
      <c r="Q176" s="14" t="s">
        <v>2</v>
      </c>
      <c r="R176" s="13"/>
      <c r="S176" s="6"/>
      <c r="T176" s="11">
        <f>IF(R176&lt;&gt;"",R176/(1-IF(S176&lt;&gt;"",S176,$E$3)),IF(N176="","",N176*(1+$B$3)))</f>
      </c>
    </row>
    <row r="177" spans="1:20" x14ac:dyDescent="0.25">
      <c r="A177" s="14" t="s">
        <v>345</v>
      </c>
      <c r="B177" s="14" t="s">
        <v>368</v>
      </c>
      <c r="C177" s="14" t="s">
        <v>370</v>
      </c>
      <c r="D177" s="14" t="s">
        <v>178</v>
      </c>
      <c r="E177" s="18"/>
      <c r="F177" s="18"/>
      <c r="G177" s="18"/>
      <c r="H177" s="15">
        <v>45</v>
      </c>
      <c r="I177" s="18"/>
      <c r="J177" s="18"/>
      <c r="K177" s="16">
        <f>IF(COUNT(E177:J177)=0,"",MIN(E177:J177))</f>
      </c>
      <c r="L177" s="16">
        <f>IF(COUNT(E177:J177)=0,"",MAX(E177:J177))</f>
      </c>
      <c r="M177" s="14">
        <f>COUNT(E177:J177)</f>
      </c>
      <c r="N177" s="17">
        <f>IF(COUNT(E177:J177)=0,"",MEDIAN(E177:J177))</f>
      </c>
      <c r="O177" s="18"/>
      <c r="P177" s="19">
        <f>IF(OR(O177="",N177=""),"",1-O177/N177)</f>
      </c>
      <c r="Q177" s="14" t="s">
        <v>2</v>
      </c>
      <c r="R177" s="13"/>
      <c r="S177" s="6"/>
      <c r="T177" s="11">
        <f>IF(R177&lt;&gt;"",R177/(1-IF(S177&lt;&gt;"",S177,$E$3)),IF(N177="","",N177*(1+$B$3)))</f>
      </c>
    </row>
    <row r="178" spans="1:20" x14ac:dyDescent="0.25">
      <c r="A178" s="14" t="s">
        <v>345</v>
      </c>
      <c r="B178" s="14" t="s">
        <v>371</v>
      </c>
      <c r="C178" s="14" t="s">
        <v>367</v>
      </c>
      <c r="D178" s="14" t="s">
        <v>178</v>
      </c>
      <c r="E178" s="18"/>
      <c r="F178" s="18"/>
      <c r="G178" s="18"/>
      <c r="H178" s="15">
        <v>35</v>
      </c>
      <c r="I178" s="15">
        <v>35</v>
      </c>
      <c r="J178" s="18"/>
      <c r="K178" s="16">
        <f>IF(COUNT(E178:J178)=0,"",MIN(E178:J178))</f>
      </c>
      <c r="L178" s="16">
        <f>IF(COUNT(E178:J178)=0,"",MAX(E178:J178))</f>
      </c>
      <c r="M178" s="14">
        <f>COUNT(E178:J178)</f>
      </c>
      <c r="N178" s="17">
        <f>IF(COUNT(E178:J178)=0,"",MEDIAN(E178:J178))</f>
      </c>
      <c r="O178" s="18"/>
      <c r="P178" s="19">
        <f>IF(OR(O178="",N178=""),"",1-O178/N178)</f>
      </c>
      <c r="Q178" s="14" t="s">
        <v>2</v>
      </c>
      <c r="R178" s="13"/>
      <c r="S178" s="6"/>
      <c r="T178" s="11">
        <f>IF(R178&lt;&gt;"",R178/(1-IF(S178&lt;&gt;"",S178,$E$3)),IF(N178="","",N178*(1+$B$3)))</f>
      </c>
    </row>
    <row r="179" spans="1:20" x14ac:dyDescent="0.25">
      <c r="A179" s="14" t="s">
        <v>345</v>
      </c>
      <c r="B179" s="14" t="s">
        <v>371</v>
      </c>
      <c r="C179" s="14" t="s">
        <v>372</v>
      </c>
      <c r="D179" s="14" t="s">
        <v>178</v>
      </c>
      <c r="E179" s="18"/>
      <c r="F179" s="18"/>
      <c r="G179" s="18"/>
      <c r="H179" s="18"/>
      <c r="I179" s="18"/>
      <c r="J179" s="15">
        <v>35</v>
      </c>
      <c r="K179" s="16">
        <f>IF(COUNT(E179:J179)=0,"",MIN(E179:J179))</f>
      </c>
      <c r="L179" s="16">
        <f>IF(COUNT(E179:J179)=0,"",MAX(E179:J179))</f>
      </c>
      <c r="M179" s="14">
        <f>COUNT(E179:J179)</f>
      </c>
      <c r="N179" s="17">
        <f>IF(COUNT(E179:J179)=0,"",MEDIAN(E179:J179))</f>
      </c>
      <c r="O179" s="18"/>
      <c r="P179" s="19">
        <f>IF(OR(O179="",N179=""),"",1-O179/N179)</f>
      </c>
      <c r="Q179" s="14" t="s">
        <v>2</v>
      </c>
      <c r="R179" s="13"/>
      <c r="S179" s="6"/>
      <c r="T179" s="11">
        <f>IF(R179&lt;&gt;"",R179/(1-IF(S179&lt;&gt;"",S179,$E$3)),IF(N179="","",N179*(1+$B$3)))</f>
      </c>
    </row>
    <row r="180" spans="1:20" x14ac:dyDescent="0.25">
      <c r="A180" s="14" t="s">
        <v>345</v>
      </c>
      <c r="B180" s="14" t="s">
        <v>373</v>
      </c>
      <c r="C180" s="14" t="s">
        <v>374</v>
      </c>
      <c r="D180" s="14" t="s">
        <v>178</v>
      </c>
      <c r="E180" s="15">
        <v>36</v>
      </c>
      <c r="F180" s="18"/>
      <c r="G180" s="18"/>
      <c r="H180" s="18"/>
      <c r="I180" s="18"/>
      <c r="J180" s="18"/>
      <c r="K180" s="16">
        <f>IF(COUNT(E180:J180)=0,"",MIN(E180:J180))</f>
      </c>
      <c r="L180" s="16">
        <f>IF(COUNT(E180:J180)=0,"",MAX(E180:J180))</f>
      </c>
      <c r="M180" s="14">
        <f>COUNT(E180:J180)</f>
      </c>
      <c r="N180" s="17">
        <f>IF(COUNT(E180:J180)=0,"",MEDIAN(E180:J180))</f>
      </c>
      <c r="O180" s="18"/>
      <c r="P180" s="19">
        <f>IF(OR(O180="",N180=""),"",1-O180/N180)</f>
      </c>
      <c r="Q180" s="14" t="s">
        <v>2</v>
      </c>
      <c r="R180" s="13"/>
      <c r="S180" s="6"/>
      <c r="T180" s="11">
        <f>IF(R180&lt;&gt;"",R180/(1-IF(S180&lt;&gt;"",S180,$E$3)),IF(N180="","",N180*(1+$B$3)))</f>
      </c>
    </row>
    <row r="181" spans="1:20" x14ac:dyDescent="0.25">
      <c r="A181" s="14" t="s">
        <v>345</v>
      </c>
      <c r="B181" s="14" t="s">
        <v>375</v>
      </c>
      <c r="C181" s="14" t="s">
        <v>376</v>
      </c>
      <c r="D181" s="14" t="s">
        <v>155</v>
      </c>
      <c r="E181" s="15">
        <v>106.23</v>
      </c>
      <c r="F181" s="18"/>
      <c r="G181" s="18"/>
      <c r="H181" s="15">
        <v>106.23</v>
      </c>
      <c r="I181" s="18"/>
      <c r="J181" s="15">
        <v>106.23</v>
      </c>
      <c r="K181" s="16">
        <f>IF(COUNT(E181:J181)=0,"",MIN(E181:J181))</f>
      </c>
      <c r="L181" s="16">
        <f>IF(COUNT(E181:J181)=0,"",MAX(E181:J181))</f>
      </c>
      <c r="M181" s="14">
        <f>COUNT(E181:J181)</f>
      </c>
      <c r="N181" s="17">
        <f>IF(COUNT(E181:J181)=0,"",MEDIAN(E181:J181))</f>
      </c>
      <c r="O181" s="18"/>
      <c r="P181" s="19">
        <f>IF(OR(O181="",N181=""),"",1-O181/N181)</f>
      </c>
      <c r="Q181" s="14" t="s">
        <v>2</v>
      </c>
      <c r="R181" s="13"/>
      <c r="S181" s="6"/>
      <c r="T181" s="11">
        <f>IF(R181&lt;&gt;"",R181/(1-IF(S181&lt;&gt;"",S181,$E$3)),IF(N181="","",N181*(1+$B$3)))</f>
      </c>
    </row>
    <row r="182" spans="1:20" x14ac:dyDescent="0.25">
      <c r="A182" s="14" t="s">
        <v>345</v>
      </c>
      <c r="B182" s="14" t="s">
        <v>377</v>
      </c>
      <c r="C182" s="14" t="s">
        <v>378</v>
      </c>
      <c r="D182" s="14" t="s">
        <v>155</v>
      </c>
      <c r="E182" s="15">
        <v>58</v>
      </c>
      <c r="F182" s="18"/>
      <c r="G182" s="18"/>
      <c r="H182" s="18"/>
      <c r="I182" s="18"/>
      <c r="J182" s="18"/>
      <c r="K182" s="16">
        <f>IF(COUNT(E182:J182)=0,"",MIN(E182:J182))</f>
      </c>
      <c r="L182" s="16">
        <f>IF(COUNT(E182:J182)=0,"",MAX(E182:J182))</f>
      </c>
      <c r="M182" s="14">
        <f>COUNT(E182:J182)</f>
      </c>
      <c r="N182" s="17">
        <f>IF(COUNT(E182:J182)=0,"",MEDIAN(E182:J182))</f>
      </c>
      <c r="O182" s="18"/>
      <c r="P182" s="19">
        <f>IF(OR(O182="",N182=""),"",1-O182/N182)</f>
      </c>
      <c r="Q182" s="14" t="s">
        <v>2</v>
      </c>
      <c r="R182" s="13"/>
      <c r="S182" s="6"/>
      <c r="T182" s="11">
        <f>IF(R182&lt;&gt;"",R182/(1-IF(S182&lt;&gt;"",S182,$E$3)),IF(N182="","",N182*(1+$B$3)))</f>
      </c>
    </row>
    <row r="183" spans="1:20" x14ac:dyDescent="0.25">
      <c r="A183" s="14" t="s">
        <v>345</v>
      </c>
      <c r="B183" s="14" t="s">
        <v>377</v>
      </c>
      <c r="C183" s="14" t="s">
        <v>379</v>
      </c>
      <c r="D183" s="14" t="s">
        <v>155</v>
      </c>
      <c r="E183" s="18"/>
      <c r="F183" s="18"/>
      <c r="G183" s="18"/>
      <c r="H183" s="15">
        <v>58</v>
      </c>
      <c r="I183" s="18"/>
      <c r="J183" s="18"/>
      <c r="K183" s="16">
        <f>IF(COUNT(E183:J183)=0,"",MIN(E183:J183))</f>
      </c>
      <c r="L183" s="16">
        <f>IF(COUNT(E183:J183)=0,"",MAX(E183:J183))</f>
      </c>
      <c r="M183" s="14">
        <f>COUNT(E183:J183)</f>
      </c>
      <c r="N183" s="17">
        <f>IF(COUNT(E183:J183)=0,"",MEDIAN(E183:J183))</f>
      </c>
      <c r="O183" s="18"/>
      <c r="P183" s="19">
        <f>IF(OR(O183="",N183=""),"",1-O183/N183)</f>
      </c>
      <c r="Q183" s="14" t="s">
        <v>2</v>
      </c>
      <c r="R183" s="13"/>
      <c r="S183" s="6"/>
      <c r="T183" s="11">
        <f>IF(R183&lt;&gt;"",R183/(1-IF(S183&lt;&gt;"",S183,$E$3)),IF(N183="","",N183*(1+$B$3)))</f>
      </c>
    </row>
    <row r="184" spans="1:20" x14ac:dyDescent="0.25">
      <c r="A184" s="14" t="s">
        <v>345</v>
      </c>
      <c r="B184" s="14" t="s">
        <v>380</v>
      </c>
      <c r="C184" s="14" t="s">
        <v>381</v>
      </c>
      <c r="D184" s="14" t="s">
        <v>155</v>
      </c>
      <c r="E184" s="18"/>
      <c r="F184" s="18"/>
      <c r="G184" s="18"/>
      <c r="H184" s="15">
        <v>107.13</v>
      </c>
      <c r="I184" s="18"/>
      <c r="J184" s="18"/>
      <c r="K184" s="16">
        <f>IF(COUNT(E184:J184)=0,"",MIN(E184:J184))</f>
      </c>
      <c r="L184" s="16">
        <f>IF(COUNT(E184:J184)=0,"",MAX(E184:J184))</f>
      </c>
      <c r="M184" s="14">
        <f>COUNT(E184:J184)</f>
      </c>
      <c r="N184" s="17">
        <f>IF(COUNT(E184:J184)=0,"",MEDIAN(E184:J184))</f>
      </c>
      <c r="O184" s="18"/>
      <c r="P184" s="19">
        <f>IF(OR(O184="",N184=""),"",1-O184/N184)</f>
      </c>
      <c r="Q184" s="14" t="s">
        <v>2</v>
      </c>
      <c r="R184" s="13"/>
      <c r="S184" s="6"/>
      <c r="T184" s="11">
        <f>IF(R184&lt;&gt;"",R184/(1-IF(S184&lt;&gt;"",S184,$E$3)),IF(N184="","",N184*(1+$B$3)))</f>
      </c>
    </row>
    <row r="185" spans="1:20" x14ac:dyDescent="0.25">
      <c r="A185" s="5" t="s">
        <v>382</v>
      </c>
      <c r="B185" s="5" t="s">
        <v>383</v>
      </c>
      <c r="C185" s="5" t="s">
        <v>384</v>
      </c>
      <c r="D185" s="5" t="s">
        <v>85</v>
      </c>
      <c r="E185" s="9">
        <v>1345.06</v>
      </c>
      <c r="F185" s="8"/>
      <c r="G185" s="8"/>
      <c r="H185" s="9">
        <v>1749.27</v>
      </c>
      <c r="I185" s="8"/>
      <c r="J185" s="8"/>
      <c r="K185" s="10">
        <f>IF(COUNT(E185:J185)=0,"",MIN(E185:J185))</f>
      </c>
      <c r="L185" s="10">
        <f>IF(COUNT(E185:J185)=0,"",MAX(E185:J185))</f>
      </c>
      <c r="M185" s="5">
        <f>COUNT(E185:J185)</f>
      </c>
      <c r="N185" s="11">
        <f>IF(COUNT(E185:J185)=0,"",MEDIAN(E185:J185))</f>
      </c>
      <c r="O185" s="8"/>
      <c r="P185" s="12">
        <f>IF(OR(O185="",N185=""),"",1-O185/N185)</f>
      </c>
      <c r="Q185" s="5" t="s">
        <v>2</v>
      </c>
      <c r="R185" s="13"/>
      <c r="S185" s="6"/>
      <c r="T185" s="11">
        <f>IF(R185&lt;&gt;"",R185/(1-IF(S185&lt;&gt;"",S185,$E$3)),IF(N185="","",N185*(1+$B$3)))</f>
      </c>
    </row>
    <row r="186" spans="1:20" x14ac:dyDescent="0.25">
      <c r="A186" s="5" t="s">
        <v>382</v>
      </c>
      <c r="B186" s="5" t="s">
        <v>385</v>
      </c>
      <c r="C186" s="5" t="s">
        <v>386</v>
      </c>
      <c r="D186" s="5" t="s">
        <v>2</v>
      </c>
      <c r="E186" s="8"/>
      <c r="F186" s="8"/>
      <c r="G186" s="8"/>
      <c r="H186" s="9">
        <v>1916.17</v>
      </c>
      <c r="I186" s="8"/>
      <c r="J186" s="8"/>
      <c r="K186" s="10">
        <f>IF(COUNT(E186:J186)=0,"",MIN(E186:J186))</f>
      </c>
      <c r="L186" s="10">
        <f>IF(COUNT(E186:J186)=0,"",MAX(E186:J186))</f>
      </c>
      <c r="M186" s="5">
        <f>COUNT(E186:J186)</f>
      </c>
      <c r="N186" s="11">
        <f>IF(COUNT(E186:J186)=0,"",MEDIAN(E186:J186))</f>
      </c>
      <c r="O186" s="8"/>
      <c r="P186" s="12">
        <f>IF(OR(O186="",N186=""),"",1-O186/N186)</f>
      </c>
      <c r="Q186" s="5" t="s">
        <v>2</v>
      </c>
      <c r="R186" s="13"/>
      <c r="S186" s="6"/>
      <c r="T186" s="11">
        <f>IF(R186&lt;&gt;"",R186/(1-IF(S186&lt;&gt;"",S186,$E$3)),IF(N186="","",N186*(1+$B$3)))</f>
      </c>
    </row>
    <row r="187" spans="1:20" x14ac:dyDescent="0.25">
      <c r="A187" s="5" t="s">
        <v>382</v>
      </c>
      <c r="B187" s="5" t="s">
        <v>387</v>
      </c>
      <c r="C187" s="5" t="s">
        <v>388</v>
      </c>
      <c r="D187" s="5" t="s">
        <v>2</v>
      </c>
      <c r="E187" s="8"/>
      <c r="F187" s="8"/>
      <c r="G187" s="8"/>
      <c r="H187" s="9">
        <v>2876.12</v>
      </c>
      <c r="I187" s="8"/>
      <c r="J187" s="8"/>
      <c r="K187" s="10">
        <f>IF(COUNT(E187:J187)=0,"",MIN(E187:J187))</f>
      </c>
      <c r="L187" s="10">
        <f>IF(COUNT(E187:J187)=0,"",MAX(E187:J187))</f>
      </c>
      <c r="M187" s="5">
        <f>COUNT(E187:J187)</f>
      </c>
      <c r="N187" s="11">
        <f>IF(COUNT(E187:J187)=0,"",MEDIAN(E187:J187))</f>
      </c>
      <c r="O187" s="8"/>
      <c r="P187" s="12">
        <f>IF(OR(O187="",N187=""),"",1-O187/N187)</f>
      </c>
      <c r="Q187" s="5" t="s">
        <v>2</v>
      </c>
      <c r="R187" s="13"/>
      <c r="S187" s="6"/>
      <c r="T187" s="11">
        <f>IF(R187&lt;&gt;"",R187/(1-IF(S187&lt;&gt;"",S187,$E$3)),IF(N187="","",N187*(1+$B$3)))</f>
      </c>
    </row>
    <row r="188" spans="1:20" x14ac:dyDescent="0.25">
      <c r="A188" s="5" t="s">
        <v>382</v>
      </c>
      <c r="B188" s="5" t="s">
        <v>389</v>
      </c>
      <c r="C188" s="5" t="s">
        <v>390</v>
      </c>
      <c r="D188" s="5" t="s">
        <v>2</v>
      </c>
      <c r="E188" s="8"/>
      <c r="F188" s="8"/>
      <c r="G188" s="8"/>
      <c r="H188" s="9">
        <v>704.44</v>
      </c>
      <c r="I188" s="9">
        <v>704.44</v>
      </c>
      <c r="J188" s="8"/>
      <c r="K188" s="10">
        <f>IF(COUNT(E188:J188)=0,"",MIN(E188:J188))</f>
      </c>
      <c r="L188" s="10">
        <f>IF(COUNT(E188:J188)=0,"",MAX(E188:J188))</f>
      </c>
      <c r="M188" s="5">
        <f>COUNT(E188:J188)</f>
      </c>
      <c r="N188" s="11">
        <f>IF(COUNT(E188:J188)=0,"",MEDIAN(E188:J188))</f>
      </c>
      <c r="O188" s="8"/>
      <c r="P188" s="12">
        <f>IF(OR(O188="",N188=""),"",1-O188/N188)</f>
      </c>
      <c r="Q188" s="5" t="s">
        <v>2</v>
      </c>
      <c r="R188" s="13"/>
      <c r="S188" s="6"/>
      <c r="T188" s="11">
        <f>IF(R188&lt;&gt;"",R188/(1-IF(S188&lt;&gt;"",S188,$E$3)),IF(N188="","",N188*(1+$B$3)))</f>
      </c>
    </row>
    <row r="189" spans="1:20" x14ac:dyDescent="0.25">
      <c r="A189" s="5" t="s">
        <v>382</v>
      </c>
      <c r="B189" s="5" t="s">
        <v>391</v>
      </c>
      <c r="C189" s="5" t="s">
        <v>392</v>
      </c>
      <c r="D189" s="5" t="s">
        <v>2</v>
      </c>
      <c r="E189" s="8"/>
      <c r="F189" s="8"/>
      <c r="G189" s="8"/>
      <c r="H189" s="9">
        <v>1362.75</v>
      </c>
      <c r="I189" s="8"/>
      <c r="J189" s="8"/>
      <c r="K189" s="10">
        <f>IF(COUNT(E189:J189)=0,"",MIN(E189:J189))</f>
      </c>
      <c r="L189" s="10">
        <f>IF(COUNT(E189:J189)=0,"",MAX(E189:J189))</f>
      </c>
      <c r="M189" s="5">
        <f>COUNT(E189:J189)</f>
      </c>
      <c r="N189" s="11">
        <f>IF(COUNT(E189:J189)=0,"",MEDIAN(E189:J189))</f>
      </c>
      <c r="O189" s="8"/>
      <c r="P189" s="12">
        <f>IF(OR(O189="",N189=""),"",1-O189/N189)</f>
      </c>
      <c r="Q189" s="5" t="s">
        <v>2</v>
      </c>
      <c r="R189" s="13"/>
      <c r="S189" s="6"/>
      <c r="T189" s="11">
        <f>IF(R189&lt;&gt;"",R189/(1-IF(S189&lt;&gt;"",S189,$E$3)),IF(N189="","",N189*(1+$B$3)))</f>
      </c>
    </row>
    <row r="190" spans="1:20" x14ac:dyDescent="0.25">
      <c r="A190" s="5" t="s">
        <v>382</v>
      </c>
      <c r="B190" s="5" t="s">
        <v>393</v>
      </c>
      <c r="C190" s="5" t="s">
        <v>394</v>
      </c>
      <c r="D190" s="5" t="s">
        <v>85</v>
      </c>
      <c r="E190" s="8"/>
      <c r="F190" s="8"/>
      <c r="G190" s="8"/>
      <c r="H190" s="8"/>
      <c r="I190" s="8"/>
      <c r="J190" s="9">
        <v>831.54</v>
      </c>
      <c r="K190" s="10">
        <f>IF(COUNT(E190:J190)=0,"",MIN(E190:J190))</f>
      </c>
      <c r="L190" s="10">
        <f>IF(COUNT(E190:J190)=0,"",MAX(E190:J190))</f>
      </c>
      <c r="M190" s="5">
        <f>COUNT(E190:J190)</f>
      </c>
      <c r="N190" s="11">
        <f>IF(COUNT(E190:J190)=0,"",MEDIAN(E190:J190))</f>
      </c>
      <c r="O190" s="8"/>
      <c r="P190" s="12">
        <f>IF(OR(O190="",N190=""),"",1-O190/N190)</f>
      </c>
      <c r="Q190" s="5" t="s">
        <v>2</v>
      </c>
      <c r="R190" s="13"/>
      <c r="S190" s="6"/>
      <c r="T190" s="11">
        <f>IF(R190&lt;&gt;"",R190/(1-IF(S190&lt;&gt;"",S190,$E$3)),IF(N190="","",N190*(1+$B$3)))</f>
      </c>
    </row>
    <row r="191" spans="1:20" x14ac:dyDescent="0.25">
      <c r="A191" s="5" t="s">
        <v>382</v>
      </c>
      <c r="B191" s="5" t="s">
        <v>395</v>
      </c>
      <c r="C191" s="5" t="s">
        <v>396</v>
      </c>
      <c r="D191" s="5" t="s">
        <v>2</v>
      </c>
      <c r="E191" s="8"/>
      <c r="F191" s="9">
        <v>1015</v>
      </c>
      <c r="G191" s="9">
        <v>1015</v>
      </c>
      <c r="H191" s="9">
        <v>1015</v>
      </c>
      <c r="I191" s="9">
        <v>1015</v>
      </c>
      <c r="J191" s="8"/>
      <c r="K191" s="10">
        <f>IF(COUNT(E191:J191)=0,"",MIN(E191:J191))</f>
      </c>
      <c r="L191" s="10">
        <f>IF(COUNT(E191:J191)=0,"",MAX(E191:J191))</f>
      </c>
      <c r="M191" s="5">
        <f>COUNT(E191:J191)</f>
      </c>
      <c r="N191" s="11">
        <f>IF(COUNT(E191:J191)=0,"",MEDIAN(E191:J191))</f>
      </c>
      <c r="O191" s="8"/>
      <c r="P191" s="12">
        <f>IF(OR(O191="",N191=""),"",1-O191/N191)</f>
      </c>
      <c r="Q191" s="5" t="s">
        <v>2</v>
      </c>
      <c r="R191" s="13"/>
      <c r="S191" s="6"/>
      <c r="T191" s="11">
        <f>IF(R191&lt;&gt;"",R191/(1-IF(S191&lt;&gt;"",S191,$E$3)),IF(N191="","",N191*(1+$B$3)))</f>
      </c>
    </row>
    <row r="192" spans="1:20" x14ac:dyDescent="0.25">
      <c r="A192" s="5" t="s">
        <v>382</v>
      </c>
      <c r="B192" s="5" t="s">
        <v>397</v>
      </c>
      <c r="C192" s="5" t="s">
        <v>398</v>
      </c>
      <c r="D192" s="5" t="s">
        <v>85</v>
      </c>
      <c r="E192" s="8"/>
      <c r="F192" s="8"/>
      <c r="G192" s="8"/>
      <c r="H192" s="8"/>
      <c r="I192" s="8"/>
      <c r="J192" s="9">
        <v>878.62</v>
      </c>
      <c r="K192" s="10">
        <f>IF(COUNT(E192:J192)=0,"",MIN(E192:J192))</f>
      </c>
      <c r="L192" s="10">
        <f>IF(COUNT(E192:J192)=0,"",MAX(E192:J192))</f>
      </c>
      <c r="M192" s="5">
        <f>COUNT(E192:J192)</f>
      </c>
      <c r="N192" s="11">
        <f>IF(COUNT(E192:J192)=0,"",MEDIAN(E192:J192))</f>
      </c>
      <c r="O192" s="8"/>
      <c r="P192" s="12">
        <f>IF(OR(O192="",N192=""),"",1-O192/N192)</f>
      </c>
      <c r="Q192" s="5" t="s">
        <v>2</v>
      </c>
      <c r="R192" s="13"/>
      <c r="S192" s="6"/>
      <c r="T192" s="11">
        <f>IF(R192&lt;&gt;"",R192/(1-IF(S192&lt;&gt;"",S192,$E$3)),IF(N192="","",N192*(1+$B$3)))</f>
      </c>
    </row>
    <row r="193" spans="1:20" x14ac:dyDescent="0.25">
      <c r="A193" s="5" t="s">
        <v>382</v>
      </c>
      <c r="B193" s="5" t="s">
        <v>399</v>
      </c>
      <c r="C193" s="5" t="s">
        <v>400</v>
      </c>
      <c r="D193" s="5" t="s">
        <v>2</v>
      </c>
      <c r="E193" s="8"/>
      <c r="F193" s="9">
        <v>1349.5</v>
      </c>
      <c r="G193" s="9">
        <v>1349.5</v>
      </c>
      <c r="H193" s="9">
        <v>2160.87</v>
      </c>
      <c r="I193" s="8"/>
      <c r="J193" s="8"/>
      <c r="K193" s="10">
        <f>IF(COUNT(E193:J193)=0,"",MIN(E193:J193))</f>
      </c>
      <c r="L193" s="10">
        <f>IF(COUNT(E193:J193)=0,"",MAX(E193:J193))</f>
      </c>
      <c r="M193" s="5">
        <f>COUNT(E193:J193)</f>
      </c>
      <c r="N193" s="11">
        <f>IF(COUNT(E193:J193)=0,"",MEDIAN(E193:J193))</f>
      </c>
      <c r="O193" s="8"/>
      <c r="P193" s="12">
        <f>IF(OR(O193="",N193=""),"",1-O193/N193)</f>
      </c>
      <c r="Q193" s="5" t="s">
        <v>2</v>
      </c>
      <c r="R193" s="13"/>
      <c r="S193" s="6"/>
      <c r="T193" s="11">
        <f>IF(R193&lt;&gt;"",R193/(1-IF(S193&lt;&gt;"",S193,$E$3)),IF(N193="","",N193*(1+$B$3)))</f>
      </c>
    </row>
    <row r="194" spans="1:20" x14ac:dyDescent="0.25">
      <c r="A194" s="5" t="s">
        <v>382</v>
      </c>
      <c r="B194" s="5" t="s">
        <v>401</v>
      </c>
      <c r="C194" s="5" t="s">
        <v>402</v>
      </c>
      <c r="D194" s="5" t="s">
        <v>85</v>
      </c>
      <c r="E194" s="9">
        <v>971.13</v>
      </c>
      <c r="F194" s="9">
        <v>1200</v>
      </c>
      <c r="G194" s="8"/>
      <c r="H194" s="8"/>
      <c r="I194" s="8"/>
      <c r="J194" s="8"/>
      <c r="K194" s="10">
        <f>IF(COUNT(E194:J194)=0,"",MIN(E194:J194))</f>
      </c>
      <c r="L194" s="10">
        <f>IF(COUNT(E194:J194)=0,"",MAX(E194:J194))</f>
      </c>
      <c r="M194" s="5">
        <f>COUNT(E194:J194)</f>
      </c>
      <c r="N194" s="11">
        <f>IF(COUNT(E194:J194)=0,"",MEDIAN(E194:J194))</f>
      </c>
      <c r="O194" s="8"/>
      <c r="P194" s="12">
        <f>IF(OR(O194="",N194=""),"",1-O194/N194)</f>
      </c>
      <c r="Q194" s="5" t="s">
        <v>2</v>
      </c>
      <c r="R194" s="13"/>
      <c r="S194" s="6"/>
      <c r="T194" s="11">
        <f>IF(R194&lt;&gt;"",R194/(1-IF(S194&lt;&gt;"",S194,$E$3)),IF(N194="","",N194*(1+$B$3)))</f>
      </c>
    </row>
    <row r="195" spans="1:20" x14ac:dyDescent="0.25">
      <c r="A195" s="5" t="s">
        <v>382</v>
      </c>
      <c r="B195" s="5" t="s">
        <v>403</v>
      </c>
      <c r="C195" s="5" t="s">
        <v>404</v>
      </c>
      <c r="D195" s="5" t="s">
        <v>85</v>
      </c>
      <c r="E195" s="9">
        <v>2720.61</v>
      </c>
      <c r="F195" s="8"/>
      <c r="G195" s="8"/>
      <c r="H195" s="8"/>
      <c r="I195" s="8"/>
      <c r="J195" s="8"/>
      <c r="K195" s="10">
        <f>IF(COUNT(E195:J195)=0,"",MIN(E195:J195))</f>
      </c>
      <c r="L195" s="10">
        <f>IF(COUNT(E195:J195)=0,"",MAX(E195:J195))</f>
      </c>
      <c r="M195" s="5">
        <f>COUNT(E195:J195)</f>
      </c>
      <c r="N195" s="11">
        <f>IF(COUNT(E195:J195)=0,"",MEDIAN(E195:J195))</f>
      </c>
      <c r="O195" s="8"/>
      <c r="P195" s="12">
        <f>IF(OR(O195="",N195=""),"",1-O195/N195)</f>
      </c>
      <c r="Q195" s="5" t="s">
        <v>2</v>
      </c>
      <c r="R195" s="13"/>
      <c r="S195" s="6"/>
      <c r="T195" s="11">
        <f>IF(R195&lt;&gt;"",R195/(1-IF(S195&lt;&gt;"",S195,$E$3)),IF(N195="","",N195*(1+$B$3)))</f>
      </c>
    </row>
    <row r="196" spans="1:20" x14ac:dyDescent="0.25">
      <c r="A196" s="5" t="s">
        <v>382</v>
      </c>
      <c r="B196" s="5" t="s">
        <v>405</v>
      </c>
      <c r="C196" s="5" t="s">
        <v>406</v>
      </c>
      <c r="D196" s="5" t="s">
        <v>85</v>
      </c>
      <c r="E196" s="8"/>
      <c r="F196" s="8"/>
      <c r="G196" s="8"/>
      <c r="H196" s="8"/>
      <c r="I196" s="8"/>
      <c r="J196" s="9">
        <v>2705.8</v>
      </c>
      <c r="K196" s="10">
        <f>IF(COUNT(E196:J196)=0,"",MIN(E196:J196))</f>
      </c>
      <c r="L196" s="10">
        <f>IF(COUNT(E196:J196)=0,"",MAX(E196:J196))</f>
      </c>
      <c r="M196" s="5">
        <f>COUNT(E196:J196)</f>
      </c>
      <c r="N196" s="11">
        <f>IF(COUNT(E196:J196)=0,"",MEDIAN(E196:J196))</f>
      </c>
      <c r="O196" s="8"/>
      <c r="P196" s="12">
        <f>IF(OR(O196="",N196=""),"",1-O196/N196)</f>
      </c>
      <c r="Q196" s="5" t="s">
        <v>2</v>
      </c>
      <c r="R196" s="13"/>
      <c r="S196" s="6"/>
      <c r="T196" s="11">
        <f>IF(R196&lt;&gt;"",R196/(1-IF(S196&lt;&gt;"",S196,$E$3)),IF(N196="","",N196*(1+$B$3)))</f>
      </c>
    </row>
    <row r="197" spans="1:20" x14ac:dyDescent="0.25">
      <c r="A197" s="5" t="s">
        <v>382</v>
      </c>
      <c r="B197" s="5" t="s">
        <v>407</v>
      </c>
      <c r="C197" s="5" t="s">
        <v>408</v>
      </c>
      <c r="D197" s="5" t="s">
        <v>2</v>
      </c>
      <c r="E197" s="8"/>
      <c r="F197" s="8"/>
      <c r="G197" s="8"/>
      <c r="H197" s="9">
        <v>3193.15</v>
      </c>
      <c r="I197" s="8"/>
      <c r="J197" s="8"/>
      <c r="K197" s="10">
        <f>IF(COUNT(E197:J197)=0,"",MIN(E197:J197))</f>
      </c>
      <c r="L197" s="10">
        <f>IF(COUNT(E197:J197)=0,"",MAX(E197:J197))</f>
      </c>
      <c r="M197" s="5">
        <f>COUNT(E197:J197)</f>
      </c>
      <c r="N197" s="11">
        <f>IF(COUNT(E197:J197)=0,"",MEDIAN(E197:J197))</f>
      </c>
      <c r="O197" s="8"/>
      <c r="P197" s="12">
        <f>IF(OR(O197="",N197=""),"",1-O197/N197)</f>
      </c>
      <c r="Q197" s="5" t="s">
        <v>2</v>
      </c>
      <c r="R197" s="13"/>
      <c r="S197" s="6"/>
      <c r="T197" s="11">
        <f>IF(R197&lt;&gt;"",R197/(1-IF(S197&lt;&gt;"",S197,$E$3)),IF(N197="","",N197*(1+$B$3)))</f>
      </c>
    </row>
    <row r="198" spans="1:20" x14ac:dyDescent="0.25">
      <c r="A198" s="5" t="s">
        <v>382</v>
      </c>
      <c r="B198" s="5" t="s">
        <v>409</v>
      </c>
      <c r="C198" s="5" t="s">
        <v>410</v>
      </c>
      <c r="D198" s="5" t="s">
        <v>2</v>
      </c>
      <c r="E198" s="8"/>
      <c r="F198" s="8"/>
      <c r="G198" s="8"/>
      <c r="H198" s="8"/>
      <c r="I198" s="9">
        <v>3430.63</v>
      </c>
      <c r="J198" s="8"/>
      <c r="K198" s="10">
        <f>IF(COUNT(E198:J198)=0,"",MIN(E198:J198))</f>
      </c>
      <c r="L198" s="10">
        <f>IF(COUNT(E198:J198)=0,"",MAX(E198:J198))</f>
      </c>
      <c r="M198" s="5">
        <f>COUNT(E198:J198)</f>
      </c>
      <c r="N198" s="11">
        <f>IF(COUNT(E198:J198)=0,"",MEDIAN(E198:J198))</f>
      </c>
      <c r="O198" s="8"/>
      <c r="P198" s="12">
        <f>IF(OR(O198="",N198=""),"",1-O198/N198)</f>
      </c>
      <c r="Q198" s="5" t="s">
        <v>2</v>
      </c>
      <c r="R198" s="13"/>
      <c r="S198" s="6"/>
      <c r="T198" s="11">
        <f>IF(R198&lt;&gt;"",R198/(1-IF(S198&lt;&gt;"",S198,$E$3)),IF(N198="","",N198*(1+$B$3)))</f>
      </c>
    </row>
    <row r="199" spans="1:20" x14ac:dyDescent="0.25">
      <c r="A199" s="5" t="s">
        <v>382</v>
      </c>
      <c r="B199" s="5" t="s">
        <v>411</v>
      </c>
      <c r="C199" s="5" t="s">
        <v>412</v>
      </c>
      <c r="D199" s="5" t="s">
        <v>2</v>
      </c>
      <c r="E199" s="8"/>
      <c r="F199" s="9">
        <v>3719.74</v>
      </c>
      <c r="G199" s="9">
        <v>3719.74</v>
      </c>
      <c r="H199" s="8"/>
      <c r="I199" s="8"/>
      <c r="J199" s="8"/>
      <c r="K199" s="10">
        <f>IF(COUNT(E199:J199)=0,"",MIN(E199:J199))</f>
      </c>
      <c r="L199" s="10">
        <f>IF(COUNT(E199:J199)=0,"",MAX(E199:J199))</f>
      </c>
      <c r="M199" s="5">
        <f>COUNT(E199:J199)</f>
      </c>
      <c r="N199" s="11">
        <f>IF(COUNT(E199:J199)=0,"",MEDIAN(E199:J199))</f>
      </c>
      <c r="O199" s="8"/>
      <c r="P199" s="12">
        <f>IF(OR(O199="",N199=""),"",1-O199/N199)</f>
      </c>
      <c r="Q199" s="5" t="s">
        <v>2</v>
      </c>
      <c r="R199" s="13"/>
      <c r="S199" s="6"/>
      <c r="T199" s="11">
        <f>IF(R199&lt;&gt;"",R199/(1-IF(S199&lt;&gt;"",S199,$E$3)),IF(N199="","",N199*(1+$B$3)))</f>
      </c>
    </row>
    <row r="200" spans="1:20" x14ac:dyDescent="0.25">
      <c r="A200" s="5" t="s">
        <v>382</v>
      </c>
      <c r="B200" s="5" t="s">
        <v>413</v>
      </c>
      <c r="C200" s="5" t="s">
        <v>414</v>
      </c>
      <c r="D200" s="5" t="s">
        <v>85</v>
      </c>
      <c r="E200" s="8"/>
      <c r="F200" s="8"/>
      <c r="G200" s="8"/>
      <c r="H200" s="8"/>
      <c r="I200" s="8"/>
      <c r="J200" s="9">
        <v>3419.39</v>
      </c>
      <c r="K200" s="10">
        <f>IF(COUNT(E200:J200)=0,"",MIN(E200:J200))</f>
      </c>
      <c r="L200" s="10">
        <f>IF(COUNT(E200:J200)=0,"",MAX(E200:J200))</f>
      </c>
      <c r="M200" s="5">
        <f>COUNT(E200:J200)</f>
      </c>
      <c r="N200" s="11">
        <f>IF(COUNT(E200:J200)=0,"",MEDIAN(E200:J200))</f>
      </c>
      <c r="O200" s="8"/>
      <c r="P200" s="12">
        <f>IF(OR(O200="",N200=""),"",1-O200/N200)</f>
      </c>
      <c r="Q200" s="5" t="s">
        <v>2</v>
      </c>
      <c r="R200" s="13"/>
      <c r="S200" s="6"/>
      <c r="T200" s="11">
        <f>IF(R200&lt;&gt;"",R200/(1-IF(S200&lt;&gt;"",S200,$E$3)),IF(N200="","",N200*(1+$B$3)))</f>
      </c>
    </row>
    <row r="201" spans="1:20" x14ac:dyDescent="0.25">
      <c r="A201" s="5" t="s">
        <v>382</v>
      </c>
      <c r="B201" s="5" t="s">
        <v>415</v>
      </c>
      <c r="C201" s="5" t="s">
        <v>416</v>
      </c>
      <c r="D201" s="5" t="s">
        <v>2</v>
      </c>
      <c r="E201" s="8"/>
      <c r="F201" s="8"/>
      <c r="G201" s="8"/>
      <c r="H201" s="9">
        <v>3617.41</v>
      </c>
      <c r="I201" s="8"/>
      <c r="J201" s="8"/>
      <c r="K201" s="10">
        <f>IF(COUNT(E201:J201)=0,"",MIN(E201:J201))</f>
      </c>
      <c r="L201" s="10">
        <f>IF(COUNT(E201:J201)=0,"",MAX(E201:J201))</f>
      </c>
      <c r="M201" s="5">
        <f>COUNT(E201:J201)</f>
      </c>
      <c r="N201" s="11">
        <f>IF(COUNT(E201:J201)=0,"",MEDIAN(E201:J201))</f>
      </c>
      <c r="O201" s="8"/>
      <c r="P201" s="12">
        <f>IF(OR(O201="",N201=""),"",1-O201/N201)</f>
      </c>
      <c r="Q201" s="5" t="s">
        <v>2</v>
      </c>
      <c r="R201" s="13"/>
      <c r="S201" s="6"/>
      <c r="T201" s="11">
        <f>IF(R201&lt;&gt;"",R201/(1-IF(S201&lt;&gt;"",S201,$E$3)),IF(N201="","",N201*(1+$B$3)))</f>
      </c>
    </row>
    <row r="202" spans="1:20" x14ac:dyDescent="0.25">
      <c r="A202" s="5" t="s">
        <v>382</v>
      </c>
      <c r="B202" s="5" t="s">
        <v>417</v>
      </c>
      <c r="C202" s="5" t="s">
        <v>418</v>
      </c>
      <c r="D202" s="5" t="s">
        <v>2</v>
      </c>
      <c r="E202" s="8"/>
      <c r="F202" s="9">
        <v>3719.74</v>
      </c>
      <c r="G202" s="9">
        <v>3719.74</v>
      </c>
      <c r="H202" s="8"/>
      <c r="I202" s="8"/>
      <c r="J202" s="8"/>
      <c r="K202" s="10">
        <f>IF(COUNT(E202:J202)=0,"",MIN(E202:J202))</f>
      </c>
      <c r="L202" s="10">
        <f>IF(COUNT(E202:J202)=0,"",MAX(E202:J202))</f>
      </c>
      <c r="M202" s="5">
        <f>COUNT(E202:J202)</f>
      </c>
      <c r="N202" s="11">
        <f>IF(COUNT(E202:J202)=0,"",MEDIAN(E202:J202))</f>
      </c>
      <c r="O202" s="8"/>
      <c r="P202" s="12">
        <f>IF(OR(O202="",N202=""),"",1-O202/N202)</f>
      </c>
      <c r="Q202" s="5" t="s">
        <v>2</v>
      </c>
      <c r="R202" s="13"/>
      <c r="S202" s="6"/>
      <c r="T202" s="11">
        <f>IF(R202&lt;&gt;"",R202/(1-IF(S202&lt;&gt;"",S202,$E$3)),IF(N202="","",N202*(1+$B$3)))</f>
      </c>
    </row>
    <row r="203" spans="1:20" x14ac:dyDescent="0.25">
      <c r="A203" s="5" t="s">
        <v>382</v>
      </c>
      <c r="B203" s="5" t="s">
        <v>419</v>
      </c>
      <c r="C203" s="5" t="s">
        <v>420</v>
      </c>
      <c r="D203" s="5" t="s">
        <v>2</v>
      </c>
      <c r="E203" s="8"/>
      <c r="F203" s="8"/>
      <c r="G203" s="8"/>
      <c r="H203" s="9">
        <v>3689.19</v>
      </c>
      <c r="I203" s="8"/>
      <c r="J203" s="8"/>
      <c r="K203" s="10">
        <f>IF(COUNT(E203:J203)=0,"",MIN(E203:J203))</f>
      </c>
      <c r="L203" s="10">
        <f>IF(COUNT(E203:J203)=0,"",MAX(E203:J203))</f>
      </c>
      <c r="M203" s="5">
        <f>COUNT(E203:J203)</f>
      </c>
      <c r="N203" s="11">
        <f>IF(COUNT(E203:J203)=0,"",MEDIAN(E203:J203))</f>
      </c>
      <c r="O203" s="8"/>
      <c r="P203" s="12">
        <f>IF(OR(O203="",N203=""),"",1-O203/N203)</f>
      </c>
      <c r="Q203" s="5" t="s">
        <v>2</v>
      </c>
      <c r="R203" s="13"/>
      <c r="S203" s="6"/>
      <c r="T203" s="11">
        <f>IF(R203&lt;&gt;"",R203/(1-IF(S203&lt;&gt;"",S203,$E$3)),IF(N203="","",N203*(1+$B$3)))</f>
      </c>
    </row>
    <row r="204" spans="1:20" x14ac:dyDescent="0.25">
      <c r="A204" s="5" t="s">
        <v>382</v>
      </c>
      <c r="B204" s="5" t="s">
        <v>421</v>
      </c>
      <c r="C204" s="5" t="s">
        <v>416</v>
      </c>
      <c r="D204" s="5" t="s">
        <v>2</v>
      </c>
      <c r="E204" s="8"/>
      <c r="F204" s="8"/>
      <c r="G204" s="8"/>
      <c r="H204" s="9">
        <v>3798.76</v>
      </c>
      <c r="I204" s="8"/>
      <c r="J204" s="8"/>
      <c r="K204" s="10">
        <f>IF(COUNT(E204:J204)=0,"",MIN(E204:J204))</f>
      </c>
      <c r="L204" s="10">
        <f>IF(COUNT(E204:J204)=0,"",MAX(E204:J204))</f>
      </c>
      <c r="M204" s="5">
        <f>COUNT(E204:J204)</f>
      </c>
      <c r="N204" s="11">
        <f>IF(COUNT(E204:J204)=0,"",MEDIAN(E204:J204))</f>
      </c>
      <c r="O204" s="8"/>
      <c r="P204" s="12">
        <f>IF(OR(O204="",N204=""),"",1-O204/N204)</f>
      </c>
      <c r="Q204" s="5" t="s">
        <v>2</v>
      </c>
      <c r="R204" s="13"/>
      <c r="S204" s="6"/>
      <c r="T204" s="11">
        <f>IF(R204&lt;&gt;"",R204/(1-IF(S204&lt;&gt;"",S204,$E$3)),IF(N204="","",N204*(1+$B$3)))</f>
      </c>
    </row>
    <row r="205" spans="1:20" x14ac:dyDescent="0.25">
      <c r="A205" s="5" t="s">
        <v>382</v>
      </c>
      <c r="B205" s="5" t="s">
        <v>422</v>
      </c>
      <c r="C205" s="5" t="s">
        <v>423</v>
      </c>
      <c r="D205" s="5" t="s">
        <v>2</v>
      </c>
      <c r="E205" s="8"/>
      <c r="F205" s="9">
        <v>3719.74</v>
      </c>
      <c r="G205" s="9">
        <v>3719.74</v>
      </c>
      <c r="H205" s="8"/>
      <c r="I205" s="8"/>
      <c r="J205" s="8"/>
      <c r="K205" s="10">
        <f>IF(COUNT(E205:J205)=0,"",MIN(E205:J205))</f>
      </c>
      <c r="L205" s="10">
        <f>IF(COUNT(E205:J205)=0,"",MAX(E205:J205))</f>
      </c>
      <c r="M205" s="5">
        <f>COUNT(E205:J205)</f>
      </c>
      <c r="N205" s="11">
        <f>IF(COUNT(E205:J205)=0,"",MEDIAN(E205:J205))</f>
      </c>
      <c r="O205" s="8"/>
      <c r="P205" s="12">
        <f>IF(OR(O205="",N205=""),"",1-O205/N205)</f>
      </c>
      <c r="Q205" s="5" t="s">
        <v>2</v>
      </c>
      <c r="R205" s="13"/>
      <c r="S205" s="6"/>
      <c r="T205" s="11">
        <f>IF(R205&lt;&gt;"",R205/(1-IF(S205&lt;&gt;"",S205,$E$3)),IF(N205="","",N205*(1+$B$3)))</f>
      </c>
    </row>
    <row r="206" spans="1:20" x14ac:dyDescent="0.25">
      <c r="A206" s="5" t="s">
        <v>382</v>
      </c>
      <c r="B206" s="5" t="s">
        <v>424</v>
      </c>
      <c r="C206" s="5" t="s">
        <v>425</v>
      </c>
      <c r="D206" s="5" t="s">
        <v>2</v>
      </c>
      <c r="E206" s="8"/>
      <c r="F206" s="9">
        <v>3719.74</v>
      </c>
      <c r="G206" s="9">
        <v>3719.74</v>
      </c>
      <c r="H206" s="8"/>
      <c r="I206" s="8"/>
      <c r="J206" s="8"/>
      <c r="K206" s="10">
        <f>IF(COUNT(E206:J206)=0,"",MIN(E206:J206))</f>
      </c>
      <c r="L206" s="10">
        <f>IF(COUNT(E206:J206)=0,"",MAX(E206:J206))</f>
      </c>
      <c r="M206" s="5">
        <f>COUNT(E206:J206)</f>
      </c>
      <c r="N206" s="11">
        <f>IF(COUNT(E206:J206)=0,"",MEDIAN(E206:J206))</f>
      </c>
      <c r="O206" s="8"/>
      <c r="P206" s="12">
        <f>IF(OR(O206="",N206=""),"",1-O206/N206)</f>
      </c>
      <c r="Q206" s="5" t="s">
        <v>2</v>
      </c>
      <c r="R206" s="13"/>
      <c r="S206" s="6"/>
      <c r="T206" s="11">
        <f>IF(R206&lt;&gt;"",R206/(1-IF(S206&lt;&gt;"",S206,$E$3)),IF(N206="","",N206*(1+$B$3)))</f>
      </c>
    </row>
    <row r="207" spans="1:20" x14ac:dyDescent="0.25">
      <c r="A207" s="5" t="s">
        <v>382</v>
      </c>
      <c r="B207" s="5" t="s">
        <v>426</v>
      </c>
      <c r="C207" s="5" t="s">
        <v>416</v>
      </c>
      <c r="D207" s="5" t="s">
        <v>2</v>
      </c>
      <c r="E207" s="8"/>
      <c r="F207" s="8"/>
      <c r="G207" s="8"/>
      <c r="H207" s="9">
        <v>4467.4</v>
      </c>
      <c r="I207" s="8"/>
      <c r="J207" s="8"/>
      <c r="K207" s="10">
        <f>IF(COUNT(E207:J207)=0,"",MIN(E207:J207))</f>
      </c>
      <c r="L207" s="10">
        <f>IF(COUNT(E207:J207)=0,"",MAX(E207:J207))</f>
      </c>
      <c r="M207" s="5">
        <f>COUNT(E207:J207)</f>
      </c>
      <c r="N207" s="11">
        <f>IF(COUNT(E207:J207)=0,"",MEDIAN(E207:J207))</f>
      </c>
      <c r="O207" s="8"/>
      <c r="P207" s="12">
        <f>IF(OR(O207="",N207=""),"",1-O207/N207)</f>
      </c>
      <c r="Q207" s="5" t="s">
        <v>2</v>
      </c>
      <c r="R207" s="13"/>
      <c r="S207" s="6"/>
      <c r="T207" s="11">
        <f>IF(R207&lt;&gt;"",R207/(1-IF(S207&lt;&gt;"",S207,$E$3)),IF(N207="","",N207*(1+$B$3)))</f>
      </c>
    </row>
    <row r="208" spans="1:20" x14ac:dyDescent="0.25">
      <c r="A208" s="5" t="s">
        <v>382</v>
      </c>
      <c r="B208" s="5" t="s">
        <v>427</v>
      </c>
      <c r="C208" s="5" t="s">
        <v>416</v>
      </c>
      <c r="D208" s="5" t="s">
        <v>2</v>
      </c>
      <c r="E208" s="8"/>
      <c r="F208" s="8"/>
      <c r="G208" s="8"/>
      <c r="H208" s="8"/>
      <c r="I208" s="9">
        <v>4467.4</v>
      </c>
      <c r="J208" s="8"/>
      <c r="K208" s="10">
        <f>IF(COUNT(E208:J208)=0,"",MIN(E208:J208))</f>
      </c>
      <c r="L208" s="10">
        <f>IF(COUNT(E208:J208)=0,"",MAX(E208:J208))</f>
      </c>
      <c r="M208" s="5">
        <f>COUNT(E208:J208)</f>
      </c>
      <c r="N208" s="11">
        <f>IF(COUNT(E208:J208)=0,"",MEDIAN(E208:J208))</f>
      </c>
      <c r="O208" s="8"/>
      <c r="P208" s="12">
        <f>IF(OR(O208="",N208=""),"",1-O208/N208)</f>
      </c>
      <c r="Q208" s="5" t="s">
        <v>2</v>
      </c>
      <c r="R208" s="13"/>
      <c r="S208" s="6"/>
      <c r="T208" s="11">
        <f>IF(R208&lt;&gt;"",R208/(1-IF(S208&lt;&gt;"",S208,$E$3)),IF(N208="","",N208*(1+$B$3)))</f>
      </c>
    </row>
    <row r="209" spans="1:20" x14ac:dyDescent="0.25">
      <c r="A209" s="5" t="s">
        <v>382</v>
      </c>
      <c r="B209" s="5" t="s">
        <v>428</v>
      </c>
      <c r="C209" s="5" t="s">
        <v>429</v>
      </c>
      <c r="D209" s="5" t="s">
        <v>85</v>
      </c>
      <c r="E209" s="9">
        <v>4646.45</v>
      </c>
      <c r="F209" s="8"/>
      <c r="G209" s="8"/>
      <c r="H209" s="8"/>
      <c r="I209" s="8"/>
      <c r="J209" s="8"/>
      <c r="K209" s="10">
        <f>IF(COUNT(E209:J209)=0,"",MIN(E209:J209))</f>
      </c>
      <c r="L209" s="10">
        <f>IF(COUNT(E209:J209)=0,"",MAX(E209:J209))</f>
      </c>
      <c r="M209" s="5">
        <f>COUNT(E209:J209)</f>
      </c>
      <c r="N209" s="11">
        <f>IF(COUNT(E209:J209)=0,"",MEDIAN(E209:J209))</f>
      </c>
      <c r="O209" s="8"/>
      <c r="P209" s="12">
        <f>IF(OR(O209="",N209=""),"",1-O209/N209)</f>
      </c>
      <c r="Q209" s="5" t="s">
        <v>2</v>
      </c>
      <c r="R209" s="13"/>
      <c r="S209" s="6"/>
      <c r="T209" s="11">
        <f>IF(R209&lt;&gt;"",R209/(1-IF(S209&lt;&gt;"",S209,$E$3)),IF(N209="","",N209*(1+$B$3)))</f>
      </c>
    </row>
    <row r="210" spans="1:20" x14ac:dyDescent="0.25">
      <c r="A210" s="14" t="s">
        <v>430</v>
      </c>
      <c r="B210" s="14" t="s">
        <v>431</v>
      </c>
      <c r="C210" s="14" t="s">
        <v>432</v>
      </c>
      <c r="D210" s="14" t="s">
        <v>433</v>
      </c>
      <c r="E210" s="18"/>
      <c r="F210" s="15">
        <v>45</v>
      </c>
      <c r="G210" s="15">
        <v>45</v>
      </c>
      <c r="H210" s="18"/>
      <c r="I210" s="18"/>
      <c r="J210" s="18"/>
      <c r="K210" s="16">
        <f>IF(COUNT(E210:J210)=0,"",MIN(E210:J210))</f>
      </c>
      <c r="L210" s="16">
        <f>IF(COUNT(E210:J210)=0,"",MAX(E210:J210))</f>
      </c>
      <c r="M210" s="14">
        <f>COUNT(E210:J210)</f>
      </c>
      <c r="N210" s="17">
        <f>IF(COUNT(E210:J210)=0,"",MEDIAN(E210:J210))</f>
      </c>
      <c r="O210" s="18"/>
      <c r="P210" s="19">
        <f>IF(OR(O210="",N210=""),"",1-O210/N210)</f>
      </c>
      <c r="Q210" s="14" t="s">
        <v>2</v>
      </c>
      <c r="R210" s="13"/>
      <c r="S210" s="6"/>
      <c r="T210" s="11">
        <f>IF(R210&lt;&gt;"",R210/(1-IF(S210&lt;&gt;"",S210,$E$3)),IF(N210="","",N210*(1+$B$3)))</f>
      </c>
    </row>
    <row r="211" spans="1:20" x14ac:dyDescent="0.25">
      <c r="A211" s="14" t="s">
        <v>430</v>
      </c>
      <c r="B211" s="14" t="s">
        <v>434</v>
      </c>
      <c r="C211" s="14" t="s">
        <v>435</v>
      </c>
      <c r="D211" s="14" t="s">
        <v>85</v>
      </c>
      <c r="E211" s="18"/>
      <c r="F211" s="18"/>
      <c r="G211" s="18"/>
      <c r="H211" s="18"/>
      <c r="I211" s="18"/>
      <c r="J211" s="15">
        <v>360</v>
      </c>
      <c r="K211" s="16">
        <f>IF(COUNT(E211:J211)=0,"",MIN(E211:J211))</f>
      </c>
      <c r="L211" s="16">
        <f>IF(COUNT(E211:J211)=0,"",MAX(E211:J211))</f>
      </c>
      <c r="M211" s="14">
        <f>COUNT(E211:J211)</f>
      </c>
      <c r="N211" s="17">
        <f>IF(COUNT(E211:J211)=0,"",MEDIAN(E211:J211))</f>
      </c>
      <c r="O211" s="18"/>
      <c r="P211" s="19">
        <f>IF(OR(O211="",N211=""),"",1-O211/N211)</f>
      </c>
      <c r="Q211" s="14" t="s">
        <v>2</v>
      </c>
      <c r="R211" s="13"/>
      <c r="S211" s="6"/>
      <c r="T211" s="11">
        <f>IF(R211&lt;&gt;"",R211/(1-IF(S211&lt;&gt;"",S211,$E$3)),IF(N211="","",N211*(1+$B$3)))</f>
      </c>
    </row>
    <row r="212" spans="1:20" x14ac:dyDescent="0.25">
      <c r="A212" s="14" t="s">
        <v>430</v>
      </c>
      <c r="B212" s="14" t="s">
        <v>436</v>
      </c>
      <c r="C212" s="14" t="s">
        <v>437</v>
      </c>
      <c r="D212" s="14" t="s">
        <v>2</v>
      </c>
      <c r="E212" s="18"/>
      <c r="F212" s="15">
        <v>2866</v>
      </c>
      <c r="G212" s="15">
        <v>2866</v>
      </c>
      <c r="H212" s="18"/>
      <c r="I212" s="18"/>
      <c r="J212" s="18"/>
      <c r="K212" s="16">
        <f>IF(COUNT(E212:J212)=0,"",MIN(E212:J212))</f>
      </c>
      <c r="L212" s="16">
        <f>IF(COUNT(E212:J212)=0,"",MAX(E212:J212))</f>
      </c>
      <c r="M212" s="14">
        <f>COUNT(E212:J212)</f>
      </c>
      <c r="N212" s="17">
        <f>IF(COUNT(E212:J212)=0,"",MEDIAN(E212:J212))</f>
      </c>
      <c r="O212" s="18"/>
      <c r="P212" s="19">
        <f>IF(OR(O212="",N212=""),"",1-O212/N212)</f>
      </c>
      <c r="Q212" s="14" t="s">
        <v>2</v>
      </c>
      <c r="R212" s="13"/>
      <c r="S212" s="6"/>
      <c r="T212" s="11">
        <f>IF(R212&lt;&gt;"",R212/(1-IF(S212&lt;&gt;"",S212,$E$3)),IF(N212="","",N212*(1+$B$3)))</f>
      </c>
    </row>
    <row r="213" spans="1:20" x14ac:dyDescent="0.25">
      <c r="A213" s="14" t="s">
        <v>430</v>
      </c>
      <c r="B213" s="14" t="s">
        <v>438</v>
      </c>
      <c r="C213" s="14" t="s">
        <v>439</v>
      </c>
      <c r="D213" s="14" t="s">
        <v>2</v>
      </c>
      <c r="E213" s="18"/>
      <c r="F213" s="15">
        <v>955</v>
      </c>
      <c r="G213" s="15">
        <v>955</v>
      </c>
      <c r="H213" s="18"/>
      <c r="I213" s="18"/>
      <c r="J213" s="18"/>
      <c r="K213" s="16">
        <f>IF(COUNT(E213:J213)=0,"",MIN(E213:J213))</f>
      </c>
      <c r="L213" s="16">
        <f>IF(COUNT(E213:J213)=0,"",MAX(E213:J213))</f>
      </c>
      <c r="M213" s="14">
        <f>COUNT(E213:J213)</f>
      </c>
      <c r="N213" s="17">
        <f>IF(COUNT(E213:J213)=0,"",MEDIAN(E213:J213))</f>
      </c>
      <c r="O213" s="18"/>
      <c r="P213" s="19">
        <f>IF(OR(O213="",N213=""),"",1-O213/N213)</f>
      </c>
      <c r="Q213" s="14" t="s">
        <v>2</v>
      </c>
      <c r="R213" s="13"/>
      <c r="S213" s="6"/>
      <c r="T213" s="11">
        <f>IF(R213&lt;&gt;"",R213/(1-IF(S213&lt;&gt;"",S213,$E$3)),IF(N213="","",N213*(1+$B$3)))</f>
      </c>
    </row>
    <row r="214" spans="1:20" x14ac:dyDescent="0.25">
      <c r="A214" s="14" t="s">
        <v>430</v>
      </c>
      <c r="B214" s="14" t="s">
        <v>440</v>
      </c>
      <c r="C214" s="14" t="s">
        <v>441</v>
      </c>
      <c r="D214" s="14" t="s">
        <v>85</v>
      </c>
      <c r="E214" s="15">
        <v>564</v>
      </c>
      <c r="F214" s="15">
        <v>564</v>
      </c>
      <c r="G214" s="15">
        <v>564</v>
      </c>
      <c r="H214" s="18"/>
      <c r="I214" s="18"/>
      <c r="J214" s="15">
        <v>564</v>
      </c>
      <c r="K214" s="16">
        <f>IF(COUNT(E214:J214)=0,"",MIN(E214:J214))</f>
      </c>
      <c r="L214" s="16">
        <f>IF(COUNT(E214:J214)=0,"",MAX(E214:J214))</f>
      </c>
      <c r="M214" s="14">
        <f>COUNT(E214:J214)</f>
      </c>
      <c r="N214" s="17">
        <f>IF(COUNT(E214:J214)=0,"",MEDIAN(E214:J214))</f>
      </c>
      <c r="O214" s="18"/>
      <c r="P214" s="19">
        <f>IF(OR(O214="",N214=""),"",1-O214/N214)</f>
      </c>
      <c r="Q214" s="14" t="s">
        <v>2</v>
      </c>
      <c r="R214" s="13"/>
      <c r="S214" s="6"/>
      <c r="T214" s="11">
        <f>IF(R214&lt;&gt;"",R214/(1-IF(S214&lt;&gt;"",S214,$E$3)),IF(N214="","",N214*(1+$B$3)))</f>
      </c>
    </row>
    <row r="215" spans="1:20" x14ac:dyDescent="0.25">
      <c r="A215" s="14" t="s">
        <v>430</v>
      </c>
      <c r="B215" s="14" t="s">
        <v>440</v>
      </c>
      <c r="C215" s="14" t="s">
        <v>442</v>
      </c>
      <c r="D215" s="14" t="s">
        <v>85</v>
      </c>
      <c r="E215" s="18"/>
      <c r="F215" s="18"/>
      <c r="G215" s="18"/>
      <c r="H215" s="15">
        <v>564</v>
      </c>
      <c r="I215" s="18"/>
      <c r="J215" s="18"/>
      <c r="K215" s="16">
        <f>IF(COUNT(E215:J215)=0,"",MIN(E215:J215))</f>
      </c>
      <c r="L215" s="16">
        <f>IF(COUNT(E215:J215)=0,"",MAX(E215:J215))</f>
      </c>
      <c r="M215" s="14">
        <f>COUNT(E215:J215)</f>
      </c>
      <c r="N215" s="17">
        <f>IF(COUNT(E215:J215)=0,"",MEDIAN(E215:J215))</f>
      </c>
      <c r="O215" s="18"/>
      <c r="P215" s="19">
        <f>IF(OR(O215="",N215=""),"",1-O215/N215)</f>
      </c>
      <c r="Q215" s="14" t="s">
        <v>2</v>
      </c>
      <c r="R215" s="13"/>
      <c r="S215" s="6"/>
      <c r="T215" s="11">
        <f>IF(R215&lt;&gt;"",R215/(1-IF(S215&lt;&gt;"",S215,$E$3)),IF(N215="","",N215*(1+$B$3)))</f>
      </c>
    </row>
    <row r="216" spans="1:20" x14ac:dyDescent="0.25">
      <c r="A216" s="14" t="s">
        <v>430</v>
      </c>
      <c r="B216" s="14" t="s">
        <v>443</v>
      </c>
      <c r="C216" s="14" t="s">
        <v>444</v>
      </c>
      <c r="D216" s="14" t="s">
        <v>85</v>
      </c>
      <c r="E216" s="15">
        <v>780</v>
      </c>
      <c r="F216" s="15">
        <v>780</v>
      </c>
      <c r="G216" s="15">
        <v>780</v>
      </c>
      <c r="H216" s="18"/>
      <c r="I216" s="15">
        <v>780</v>
      </c>
      <c r="J216" s="15">
        <v>780</v>
      </c>
      <c r="K216" s="16">
        <f>IF(COUNT(E216:J216)=0,"",MIN(E216:J216))</f>
      </c>
      <c r="L216" s="16">
        <f>IF(COUNT(E216:J216)=0,"",MAX(E216:J216))</f>
      </c>
      <c r="M216" s="14">
        <f>COUNT(E216:J216)</f>
      </c>
      <c r="N216" s="17">
        <f>IF(COUNT(E216:J216)=0,"",MEDIAN(E216:J216))</f>
      </c>
      <c r="O216" s="18"/>
      <c r="P216" s="19">
        <f>IF(OR(O216="",N216=""),"",1-O216/N216)</f>
      </c>
      <c r="Q216" s="14" t="s">
        <v>2</v>
      </c>
      <c r="R216" s="13"/>
      <c r="S216" s="6"/>
      <c r="T216" s="11">
        <f>IF(R216&lt;&gt;"",R216/(1-IF(S216&lt;&gt;"",S216,$E$3)),IF(N216="","",N216*(1+$B$3)))</f>
      </c>
    </row>
    <row r="217" spans="1:20" x14ac:dyDescent="0.25">
      <c r="A217" s="14" t="s">
        <v>430</v>
      </c>
      <c r="B217" s="14" t="s">
        <v>443</v>
      </c>
      <c r="C217" s="14" t="s">
        <v>442</v>
      </c>
      <c r="D217" s="14" t="s">
        <v>85</v>
      </c>
      <c r="E217" s="18"/>
      <c r="F217" s="18"/>
      <c r="G217" s="18"/>
      <c r="H217" s="15">
        <v>780</v>
      </c>
      <c r="I217" s="18"/>
      <c r="J217" s="18"/>
      <c r="K217" s="16">
        <f>IF(COUNT(E217:J217)=0,"",MIN(E217:J217))</f>
      </c>
      <c r="L217" s="16">
        <f>IF(COUNT(E217:J217)=0,"",MAX(E217:J217))</f>
      </c>
      <c r="M217" s="14">
        <f>COUNT(E217:J217)</f>
      </c>
      <c r="N217" s="17">
        <f>IF(COUNT(E217:J217)=0,"",MEDIAN(E217:J217))</f>
      </c>
      <c r="O217" s="18"/>
      <c r="P217" s="19">
        <f>IF(OR(O217="",N217=""),"",1-O217/N217)</f>
      </c>
      <c r="Q217" s="14" t="s">
        <v>2</v>
      </c>
      <c r="R217" s="13"/>
      <c r="S217" s="6"/>
      <c r="T217" s="11">
        <f>IF(R217&lt;&gt;"",R217/(1-IF(S217&lt;&gt;"",S217,$E$3)),IF(N217="","",N217*(1+$B$3)))</f>
      </c>
    </row>
    <row r="218" spans="1:20" x14ac:dyDescent="0.25">
      <c r="A218" s="14" t="s">
        <v>430</v>
      </c>
      <c r="B218" s="14" t="s">
        <v>445</v>
      </c>
      <c r="C218" s="14" t="s">
        <v>446</v>
      </c>
      <c r="D218" s="14" t="s">
        <v>85</v>
      </c>
      <c r="E218" s="15">
        <v>744</v>
      </c>
      <c r="F218" s="15">
        <v>744</v>
      </c>
      <c r="G218" s="15">
        <v>744</v>
      </c>
      <c r="H218" s="15">
        <v>744</v>
      </c>
      <c r="I218" s="18"/>
      <c r="J218" s="18"/>
      <c r="K218" s="16">
        <f>IF(COUNT(E218:J218)=0,"",MIN(E218:J218))</f>
      </c>
      <c r="L218" s="16">
        <f>IF(COUNT(E218:J218)=0,"",MAX(E218:J218))</f>
      </c>
      <c r="M218" s="14">
        <f>COUNT(E218:J218)</f>
      </c>
      <c r="N218" s="17">
        <f>IF(COUNT(E218:J218)=0,"",MEDIAN(E218:J218))</f>
      </c>
      <c r="O218" s="18"/>
      <c r="P218" s="19">
        <f>IF(OR(O218="",N218=""),"",1-O218/N218)</f>
      </c>
      <c r="Q218" s="14" t="s">
        <v>2</v>
      </c>
      <c r="R218" s="13"/>
      <c r="S218" s="6"/>
      <c r="T218" s="11">
        <f>IF(R218&lt;&gt;"",R218/(1-IF(S218&lt;&gt;"",S218,$E$3)),IF(N218="","",N218*(1+$B$3)))</f>
      </c>
    </row>
    <row r="219" spans="1:20" x14ac:dyDescent="0.25">
      <c r="A219" s="14" t="s">
        <v>430</v>
      </c>
      <c r="B219" s="14" t="s">
        <v>447</v>
      </c>
      <c r="C219" s="14" t="s">
        <v>448</v>
      </c>
      <c r="D219" s="14" t="s">
        <v>85</v>
      </c>
      <c r="E219" s="15">
        <v>744</v>
      </c>
      <c r="F219" s="18"/>
      <c r="G219" s="18"/>
      <c r="H219" s="15">
        <v>744</v>
      </c>
      <c r="I219" s="18"/>
      <c r="J219" s="18"/>
      <c r="K219" s="16">
        <f>IF(COUNT(E219:J219)=0,"",MIN(E219:J219))</f>
      </c>
      <c r="L219" s="16">
        <f>IF(COUNT(E219:J219)=0,"",MAX(E219:J219))</f>
      </c>
      <c r="M219" s="14">
        <f>COUNT(E219:J219)</f>
      </c>
      <c r="N219" s="17">
        <f>IF(COUNT(E219:J219)=0,"",MEDIAN(E219:J219))</f>
      </c>
      <c r="O219" s="18"/>
      <c r="P219" s="19">
        <f>IF(OR(O219="",N219=""),"",1-O219/N219)</f>
      </c>
      <c r="Q219" s="14" t="s">
        <v>2</v>
      </c>
      <c r="R219" s="13"/>
      <c r="S219" s="6"/>
      <c r="T219" s="11">
        <f>IF(R219&lt;&gt;"",R219/(1-IF(S219&lt;&gt;"",S219,$E$3)),IF(N219="","",N219*(1+$B$3)))</f>
      </c>
    </row>
    <row r="220" spans="1:20" x14ac:dyDescent="0.25">
      <c r="A220" s="14" t="s">
        <v>430</v>
      </c>
      <c r="B220" s="14" t="s">
        <v>449</v>
      </c>
      <c r="C220" s="14" t="s">
        <v>450</v>
      </c>
      <c r="D220" s="14" t="s">
        <v>85</v>
      </c>
      <c r="E220" s="15">
        <v>504</v>
      </c>
      <c r="F220" s="18"/>
      <c r="G220" s="18"/>
      <c r="H220" s="15">
        <v>504</v>
      </c>
      <c r="I220" s="18"/>
      <c r="J220" s="18"/>
      <c r="K220" s="16">
        <f>IF(COUNT(E220:J220)=0,"",MIN(E220:J220))</f>
      </c>
      <c r="L220" s="16">
        <f>IF(COUNT(E220:J220)=0,"",MAX(E220:J220))</f>
      </c>
      <c r="M220" s="14">
        <f>COUNT(E220:J220)</f>
      </c>
      <c r="N220" s="17">
        <f>IF(COUNT(E220:J220)=0,"",MEDIAN(E220:J220))</f>
      </c>
      <c r="O220" s="18"/>
      <c r="P220" s="19">
        <f>IF(OR(O220="",N220=""),"",1-O220/N220)</f>
      </c>
      <c r="Q220" s="14" t="s">
        <v>2</v>
      </c>
      <c r="R220" s="13"/>
      <c r="S220" s="6"/>
      <c r="T220" s="11">
        <f>IF(R220&lt;&gt;"",R220/(1-IF(S220&lt;&gt;"",S220,$E$3)),IF(N220="","",N220*(1+$B$3)))</f>
      </c>
    </row>
    <row r="221" spans="1:20" x14ac:dyDescent="0.25">
      <c r="A221" s="14" t="s">
        <v>430</v>
      </c>
      <c r="B221" s="14" t="s">
        <v>451</v>
      </c>
      <c r="C221" s="14" t="s">
        <v>452</v>
      </c>
      <c r="D221" s="14" t="s">
        <v>85</v>
      </c>
      <c r="E221" s="15">
        <v>6424.49</v>
      </c>
      <c r="F221" s="18"/>
      <c r="G221" s="18"/>
      <c r="H221" s="18"/>
      <c r="I221" s="18"/>
      <c r="J221" s="18"/>
      <c r="K221" s="16">
        <f>IF(COUNT(E221:J221)=0,"",MIN(E221:J221))</f>
      </c>
      <c r="L221" s="16">
        <f>IF(COUNT(E221:J221)=0,"",MAX(E221:J221))</f>
      </c>
      <c r="M221" s="14">
        <f>COUNT(E221:J221)</f>
      </c>
      <c r="N221" s="17">
        <f>IF(COUNT(E221:J221)=0,"",MEDIAN(E221:J221))</f>
      </c>
      <c r="O221" s="18"/>
      <c r="P221" s="19">
        <f>IF(OR(O221="",N221=""),"",1-O221/N221)</f>
      </c>
      <c r="Q221" s="14" t="s">
        <v>2</v>
      </c>
      <c r="R221" s="13"/>
      <c r="S221" s="6"/>
      <c r="T221" s="11">
        <f>IF(R221&lt;&gt;"",R221/(1-IF(S221&lt;&gt;"",S221,$E$3)),IF(N221="","",N221*(1+$B$3)))</f>
      </c>
    </row>
    <row r="222" spans="1:20" x14ac:dyDescent="0.25">
      <c r="A222" s="5" t="s">
        <v>453</v>
      </c>
      <c r="B222" s="5" t="s">
        <v>454</v>
      </c>
      <c r="C222" s="5" t="s">
        <v>455</v>
      </c>
      <c r="D222" s="5" t="s">
        <v>329</v>
      </c>
      <c r="E222" s="8"/>
      <c r="F222" s="9">
        <v>7.8</v>
      </c>
      <c r="G222" s="9">
        <v>7.8</v>
      </c>
      <c r="H222" s="8"/>
      <c r="I222" s="8"/>
      <c r="J222" s="8"/>
      <c r="K222" s="10">
        <f>IF(COUNT(E222:J222)=0,"",MIN(E222:J222))</f>
      </c>
      <c r="L222" s="10">
        <f>IF(COUNT(E222:J222)=0,"",MAX(E222:J222))</f>
      </c>
      <c r="M222" s="5">
        <f>COUNT(E222:J222)</f>
      </c>
      <c r="N222" s="11">
        <f>IF(COUNT(E222:J222)=0,"",MEDIAN(E222:J222))</f>
      </c>
      <c r="O222" s="8"/>
      <c r="P222" s="12">
        <f>IF(OR(O222="",N222=""),"",1-O222/N222)</f>
      </c>
      <c r="Q222" s="5" t="s">
        <v>2</v>
      </c>
      <c r="R222" s="13"/>
      <c r="S222" s="6"/>
      <c r="T222" s="11">
        <f>IF(R222&lt;&gt;"",R222/(1-IF(S222&lt;&gt;"",S222,$E$3)),IF(N222="","",N222*(1+$B$3)))</f>
      </c>
    </row>
    <row r="223" spans="1:20" x14ac:dyDescent="0.25">
      <c r="A223" s="5" t="s">
        <v>453</v>
      </c>
      <c r="B223" s="5" t="s">
        <v>456</v>
      </c>
      <c r="C223" s="5" t="s">
        <v>457</v>
      </c>
      <c r="D223" s="5" t="s">
        <v>329</v>
      </c>
      <c r="E223" s="8"/>
      <c r="F223" s="9">
        <v>7.1</v>
      </c>
      <c r="G223" s="9">
        <v>7.1</v>
      </c>
      <c r="H223" s="8"/>
      <c r="I223" s="8"/>
      <c r="J223" s="8"/>
      <c r="K223" s="10">
        <f>IF(COUNT(E223:J223)=0,"",MIN(E223:J223))</f>
      </c>
      <c r="L223" s="10">
        <f>IF(COUNT(E223:J223)=0,"",MAX(E223:J223))</f>
      </c>
      <c r="M223" s="5">
        <f>COUNT(E223:J223)</f>
      </c>
      <c r="N223" s="11">
        <f>IF(COUNT(E223:J223)=0,"",MEDIAN(E223:J223))</f>
      </c>
      <c r="O223" s="8"/>
      <c r="P223" s="12">
        <f>IF(OR(O223="",N223=""),"",1-O223/N223)</f>
      </c>
      <c r="Q223" s="5" t="s">
        <v>2</v>
      </c>
      <c r="R223" s="13"/>
      <c r="S223" s="6"/>
      <c r="T223" s="11">
        <f>IF(R223&lt;&gt;"",R223/(1-IF(S223&lt;&gt;"",S223,$E$3)),IF(N223="","",N223*(1+$B$3)))</f>
      </c>
    </row>
    <row r="224" spans="1:20" x14ac:dyDescent="0.25">
      <c r="A224" s="5" t="s">
        <v>453</v>
      </c>
      <c r="B224" s="5" t="s">
        <v>458</v>
      </c>
      <c r="C224" s="5" t="s">
        <v>459</v>
      </c>
      <c r="D224" s="5" t="s">
        <v>155</v>
      </c>
      <c r="E224" s="8"/>
      <c r="F224" s="9">
        <v>27.12</v>
      </c>
      <c r="G224" s="9">
        <v>27.12</v>
      </c>
      <c r="H224" s="8"/>
      <c r="I224" s="8"/>
      <c r="J224" s="8"/>
      <c r="K224" s="10">
        <f>IF(COUNT(E224:J224)=0,"",MIN(E224:J224))</f>
      </c>
      <c r="L224" s="10">
        <f>IF(COUNT(E224:J224)=0,"",MAX(E224:J224))</f>
      </c>
      <c r="M224" s="5">
        <f>COUNT(E224:J224)</f>
      </c>
      <c r="N224" s="11">
        <f>IF(COUNT(E224:J224)=0,"",MEDIAN(E224:J224))</f>
      </c>
      <c r="O224" s="8"/>
      <c r="P224" s="12">
        <f>IF(OR(O224="",N224=""),"",1-O224/N224)</f>
      </c>
      <c r="Q224" s="5" t="s">
        <v>2</v>
      </c>
      <c r="R224" s="13"/>
      <c r="S224" s="6"/>
      <c r="T224" s="11">
        <f>IF(R224&lt;&gt;"",R224/(1-IF(S224&lt;&gt;"",S224,$E$3)),IF(N224="","",N224*(1+$B$3)))</f>
      </c>
    </row>
    <row r="225" spans="1:20" x14ac:dyDescent="0.25">
      <c r="A225" s="5" t="s">
        <v>453</v>
      </c>
      <c r="B225" s="5" t="s">
        <v>460</v>
      </c>
      <c r="C225" s="5" t="s">
        <v>461</v>
      </c>
      <c r="D225" s="5" t="s">
        <v>155</v>
      </c>
      <c r="E225" s="9">
        <v>82.8</v>
      </c>
      <c r="F225" s="9">
        <v>82.8</v>
      </c>
      <c r="G225" s="8"/>
      <c r="H225" s="8"/>
      <c r="I225" s="8"/>
      <c r="J225" s="9">
        <v>82.8</v>
      </c>
      <c r="K225" s="10">
        <f>IF(COUNT(E225:J225)=0,"",MIN(E225:J225))</f>
      </c>
      <c r="L225" s="10">
        <f>IF(COUNT(E225:J225)=0,"",MAX(E225:J225))</f>
      </c>
      <c r="M225" s="5">
        <f>COUNT(E225:J225)</f>
      </c>
      <c r="N225" s="11">
        <f>IF(COUNT(E225:J225)=0,"",MEDIAN(E225:J225))</f>
      </c>
      <c r="O225" s="8"/>
      <c r="P225" s="12">
        <f>IF(OR(O225="",N225=""),"",1-O225/N225)</f>
      </c>
      <c r="Q225" s="5" t="s">
        <v>2</v>
      </c>
      <c r="R225" s="13"/>
      <c r="S225" s="6"/>
      <c r="T225" s="11">
        <f>IF(R225&lt;&gt;"",R225/(1-IF(S225&lt;&gt;"",S225,$E$3)),IF(N225="","",N225*(1+$B$3)))</f>
      </c>
    </row>
    <row r="226" spans="1:20" x14ac:dyDescent="0.25">
      <c r="A226" s="5" t="s">
        <v>453</v>
      </c>
      <c r="B226" s="5" t="s">
        <v>460</v>
      </c>
      <c r="C226" s="5" t="s">
        <v>462</v>
      </c>
      <c r="D226" s="5" t="s">
        <v>155</v>
      </c>
      <c r="E226" s="8"/>
      <c r="F226" s="8"/>
      <c r="G226" s="8"/>
      <c r="H226" s="9">
        <v>74.4</v>
      </c>
      <c r="I226" s="8"/>
      <c r="J226" s="8"/>
      <c r="K226" s="10">
        <f>IF(COUNT(E226:J226)=0,"",MIN(E226:J226))</f>
      </c>
      <c r="L226" s="10">
        <f>IF(COUNT(E226:J226)=0,"",MAX(E226:J226))</f>
      </c>
      <c r="M226" s="5">
        <f>COUNT(E226:J226)</f>
      </c>
      <c r="N226" s="11">
        <f>IF(COUNT(E226:J226)=0,"",MEDIAN(E226:J226))</f>
      </c>
      <c r="O226" s="8"/>
      <c r="P226" s="12">
        <f>IF(OR(O226="",N226=""),"",1-O226/N226)</f>
      </c>
      <c r="Q226" s="5" t="s">
        <v>2</v>
      </c>
      <c r="R226" s="13"/>
      <c r="S226" s="6"/>
      <c r="T226" s="11">
        <f>IF(R226&lt;&gt;"",R226/(1-IF(S226&lt;&gt;"",S226,$E$3)),IF(N226="","",N226*(1+$B$3)))</f>
      </c>
    </row>
    <row r="227" spans="1:20" x14ac:dyDescent="0.25">
      <c r="A227" s="5" t="s">
        <v>453</v>
      </c>
      <c r="B227" s="5" t="s">
        <v>463</v>
      </c>
      <c r="C227" s="5" t="s">
        <v>464</v>
      </c>
      <c r="D227" s="5" t="s">
        <v>155</v>
      </c>
      <c r="E227" s="9">
        <v>40</v>
      </c>
      <c r="F227" s="8"/>
      <c r="G227" s="8"/>
      <c r="H227" s="8"/>
      <c r="I227" s="8"/>
      <c r="J227" s="8"/>
      <c r="K227" s="10">
        <f>IF(COUNT(E227:J227)=0,"",MIN(E227:J227))</f>
      </c>
      <c r="L227" s="10">
        <f>IF(COUNT(E227:J227)=0,"",MAX(E227:J227))</f>
      </c>
      <c r="M227" s="5">
        <f>COUNT(E227:J227)</f>
      </c>
      <c r="N227" s="11">
        <f>IF(COUNT(E227:J227)=0,"",MEDIAN(E227:J227))</f>
      </c>
      <c r="O227" s="8"/>
      <c r="P227" s="12">
        <f>IF(OR(O227="",N227=""),"",1-O227/N227)</f>
      </c>
      <c r="Q227" s="5" t="s">
        <v>2</v>
      </c>
      <c r="R227" s="13"/>
      <c r="S227" s="6"/>
      <c r="T227" s="11">
        <f>IF(R227&lt;&gt;"",R227/(1-IF(S227&lt;&gt;"",S227,$E$3)),IF(N227="","",N227*(1+$B$3)))</f>
      </c>
    </row>
    <row r="228" spans="1:20" x14ac:dyDescent="0.25">
      <c r="A228" s="5" t="s">
        <v>453</v>
      </c>
      <c r="B228" s="5" t="s">
        <v>465</v>
      </c>
      <c r="C228" s="5" t="s">
        <v>466</v>
      </c>
      <c r="D228" s="5" t="s">
        <v>155</v>
      </c>
      <c r="E228" s="9">
        <v>50</v>
      </c>
      <c r="F228" s="8"/>
      <c r="G228" s="8"/>
      <c r="H228" s="8"/>
      <c r="I228" s="8"/>
      <c r="J228" s="8"/>
      <c r="K228" s="10">
        <f>IF(COUNT(E228:J228)=0,"",MIN(E228:J228))</f>
      </c>
      <c r="L228" s="10">
        <f>IF(COUNT(E228:J228)=0,"",MAX(E228:J228))</f>
      </c>
      <c r="M228" s="5">
        <f>COUNT(E228:J228)</f>
      </c>
      <c r="N228" s="11">
        <f>IF(COUNT(E228:J228)=0,"",MEDIAN(E228:J228))</f>
      </c>
      <c r="O228" s="8"/>
      <c r="P228" s="12">
        <f>IF(OR(O228="",N228=""),"",1-O228/N228)</f>
      </c>
      <c r="Q228" s="5" t="s">
        <v>2</v>
      </c>
      <c r="R228" s="13"/>
      <c r="S228" s="6"/>
      <c r="T228" s="11">
        <f>IF(R228&lt;&gt;"",R228/(1-IF(S228&lt;&gt;"",S228,$E$3)),IF(N228="","",N228*(1+$B$3)))</f>
      </c>
    </row>
    <row r="229" spans="1:20" x14ac:dyDescent="0.25">
      <c r="A229" s="5" t="s">
        <v>453</v>
      </c>
      <c r="B229" s="5" t="s">
        <v>465</v>
      </c>
      <c r="C229" s="5" t="s">
        <v>467</v>
      </c>
      <c r="D229" s="5" t="s">
        <v>155</v>
      </c>
      <c r="E229" s="8"/>
      <c r="F229" s="9">
        <v>45</v>
      </c>
      <c r="G229" s="9">
        <v>45</v>
      </c>
      <c r="H229" s="9">
        <v>45</v>
      </c>
      <c r="I229" s="8"/>
      <c r="J229" s="8"/>
      <c r="K229" s="10">
        <f>IF(COUNT(E229:J229)=0,"",MIN(E229:J229))</f>
      </c>
      <c r="L229" s="10">
        <f>IF(COUNT(E229:J229)=0,"",MAX(E229:J229))</f>
      </c>
      <c r="M229" s="5">
        <f>COUNT(E229:J229)</f>
      </c>
      <c r="N229" s="11">
        <f>IF(COUNT(E229:J229)=0,"",MEDIAN(E229:J229))</f>
      </c>
      <c r="O229" s="8"/>
      <c r="P229" s="12">
        <f>IF(OR(O229="",N229=""),"",1-O229/N229)</f>
      </c>
      <c r="Q229" s="5" t="s">
        <v>2</v>
      </c>
      <c r="R229" s="13"/>
      <c r="S229" s="6"/>
      <c r="T229" s="11">
        <f>IF(R229&lt;&gt;"",R229/(1-IF(S229&lt;&gt;"",S229,$E$3)),IF(N229="","",N229*(1+$B$3)))</f>
      </c>
    </row>
    <row r="230" spans="1:20" x14ac:dyDescent="0.25">
      <c r="A230" s="5" t="s">
        <v>453</v>
      </c>
      <c r="B230" s="5" t="s">
        <v>465</v>
      </c>
      <c r="C230" s="5" t="s">
        <v>468</v>
      </c>
      <c r="D230" s="5" t="s">
        <v>155</v>
      </c>
      <c r="E230" s="8"/>
      <c r="F230" s="8"/>
      <c r="G230" s="8"/>
      <c r="H230" s="8"/>
      <c r="I230" s="8"/>
      <c r="J230" s="9">
        <v>45</v>
      </c>
      <c r="K230" s="10">
        <f>IF(COUNT(E230:J230)=0,"",MIN(E230:J230))</f>
      </c>
      <c r="L230" s="10">
        <f>IF(COUNT(E230:J230)=0,"",MAX(E230:J230))</f>
      </c>
      <c r="M230" s="5">
        <f>COUNT(E230:J230)</f>
      </c>
      <c r="N230" s="11">
        <f>IF(COUNT(E230:J230)=0,"",MEDIAN(E230:J230))</f>
      </c>
      <c r="O230" s="8"/>
      <c r="P230" s="12">
        <f>IF(OR(O230="",N230=""),"",1-O230/N230)</f>
      </c>
      <c r="Q230" s="5" t="s">
        <v>2</v>
      </c>
      <c r="R230" s="13"/>
      <c r="S230" s="6"/>
      <c r="T230" s="11">
        <f>IF(R230&lt;&gt;"",R230/(1-IF(S230&lt;&gt;"",S230,$E$3)),IF(N230="","",N230*(1+$B$3)))</f>
      </c>
    </row>
    <row r="231" spans="1:20" x14ac:dyDescent="0.25">
      <c r="A231" s="5" t="s">
        <v>453</v>
      </c>
      <c r="B231" s="5" t="s">
        <v>469</v>
      </c>
      <c r="C231" s="5" t="s">
        <v>470</v>
      </c>
      <c r="D231" s="5" t="s">
        <v>155</v>
      </c>
      <c r="E231" s="9">
        <v>26</v>
      </c>
      <c r="F231" s="8"/>
      <c r="G231" s="8"/>
      <c r="H231" s="8"/>
      <c r="I231" s="8"/>
      <c r="J231" s="8"/>
      <c r="K231" s="10">
        <f>IF(COUNT(E231:J231)=0,"",MIN(E231:J231))</f>
      </c>
      <c r="L231" s="10">
        <f>IF(COUNT(E231:J231)=0,"",MAX(E231:J231))</f>
      </c>
      <c r="M231" s="5">
        <f>COUNT(E231:J231)</f>
      </c>
      <c r="N231" s="11">
        <f>IF(COUNT(E231:J231)=0,"",MEDIAN(E231:J231))</f>
      </c>
      <c r="O231" s="8"/>
      <c r="P231" s="12">
        <f>IF(OR(O231="",N231=""),"",1-O231/N231)</f>
      </c>
      <c r="Q231" s="5" t="s">
        <v>2</v>
      </c>
      <c r="R231" s="13"/>
      <c r="S231" s="6"/>
      <c r="T231" s="11">
        <f>IF(R231&lt;&gt;"",R231/(1-IF(S231&lt;&gt;"",S231,$E$3)),IF(N231="","",N231*(1+$B$3)))</f>
      </c>
    </row>
    <row r="232" spans="1:20" x14ac:dyDescent="0.25">
      <c r="A232" s="5" t="s">
        <v>453</v>
      </c>
      <c r="B232" s="5" t="s">
        <v>471</v>
      </c>
      <c r="C232" s="5" t="s">
        <v>472</v>
      </c>
      <c r="D232" s="5" t="s">
        <v>155</v>
      </c>
      <c r="E232" s="8"/>
      <c r="F232" s="9">
        <v>26</v>
      </c>
      <c r="G232" s="9">
        <v>26</v>
      </c>
      <c r="H232" s="9">
        <v>26</v>
      </c>
      <c r="I232" s="9">
        <v>26</v>
      </c>
      <c r="J232" s="9">
        <v>26</v>
      </c>
      <c r="K232" s="10">
        <f>IF(COUNT(E232:J232)=0,"",MIN(E232:J232))</f>
      </c>
      <c r="L232" s="10">
        <f>IF(COUNT(E232:J232)=0,"",MAX(E232:J232))</f>
      </c>
      <c r="M232" s="5">
        <f>COUNT(E232:J232)</f>
      </c>
      <c r="N232" s="11">
        <f>IF(COUNT(E232:J232)=0,"",MEDIAN(E232:J232))</f>
      </c>
      <c r="O232" s="8"/>
      <c r="P232" s="12">
        <f>IF(OR(O232="",N232=""),"",1-O232/N232)</f>
      </c>
      <c r="Q232" s="5" t="s">
        <v>2</v>
      </c>
      <c r="R232" s="13"/>
      <c r="S232" s="6"/>
      <c r="T232" s="11">
        <f>IF(R232&lt;&gt;"",R232/(1-IF(S232&lt;&gt;"",S232,$E$3)),IF(N232="","",N232*(1+$B$3)))</f>
      </c>
    </row>
    <row r="233" spans="1:20" x14ac:dyDescent="0.25">
      <c r="A233" s="5" t="s">
        <v>453</v>
      </c>
      <c r="B233" s="5" t="s">
        <v>473</v>
      </c>
      <c r="C233" s="5" t="s">
        <v>474</v>
      </c>
      <c r="D233" s="5" t="s">
        <v>155</v>
      </c>
      <c r="E233" s="9">
        <v>18</v>
      </c>
      <c r="F233" s="9">
        <v>18</v>
      </c>
      <c r="G233" s="8"/>
      <c r="H233" s="8"/>
      <c r="I233" s="8"/>
      <c r="J233" s="9">
        <v>18</v>
      </c>
      <c r="K233" s="10">
        <f>IF(COUNT(E233:J233)=0,"",MIN(E233:J233))</f>
      </c>
      <c r="L233" s="10">
        <f>IF(COUNT(E233:J233)=0,"",MAX(E233:J233))</f>
      </c>
      <c r="M233" s="5">
        <f>COUNT(E233:J233)</f>
      </c>
      <c r="N233" s="11">
        <f>IF(COUNT(E233:J233)=0,"",MEDIAN(E233:J233))</f>
      </c>
      <c r="O233" s="8"/>
      <c r="P233" s="12">
        <f>IF(OR(O233="",N233=""),"",1-O233/N233)</f>
      </c>
      <c r="Q233" s="5" t="s">
        <v>2</v>
      </c>
      <c r="R233" s="13"/>
      <c r="S233" s="6"/>
      <c r="T233" s="11">
        <f>IF(R233&lt;&gt;"",R233/(1-IF(S233&lt;&gt;"",S233,$E$3)),IF(N233="","",N233*(1+$B$3)))</f>
      </c>
    </row>
    <row r="234" spans="1:20" x14ac:dyDescent="0.25">
      <c r="A234" s="5" t="s">
        <v>453</v>
      </c>
      <c r="B234" s="5" t="s">
        <v>475</v>
      </c>
      <c r="C234" s="5" t="s">
        <v>476</v>
      </c>
      <c r="D234" s="5" t="s">
        <v>155</v>
      </c>
      <c r="E234" s="8"/>
      <c r="F234" s="9">
        <v>19.03</v>
      </c>
      <c r="G234" s="9">
        <v>19.03</v>
      </c>
      <c r="H234" s="8"/>
      <c r="I234" s="8"/>
      <c r="J234" s="8"/>
      <c r="K234" s="10">
        <f>IF(COUNT(E234:J234)=0,"",MIN(E234:J234))</f>
      </c>
      <c r="L234" s="10">
        <f>IF(COUNT(E234:J234)=0,"",MAX(E234:J234))</f>
      </c>
      <c r="M234" s="5">
        <f>COUNT(E234:J234)</f>
      </c>
      <c r="N234" s="11">
        <f>IF(COUNT(E234:J234)=0,"",MEDIAN(E234:J234))</f>
      </c>
      <c r="O234" s="8"/>
      <c r="P234" s="12">
        <f>IF(OR(O234="",N234=""),"",1-O234/N234)</f>
      </c>
      <c r="Q234" s="5" t="s">
        <v>2</v>
      </c>
      <c r="R234" s="13"/>
      <c r="S234" s="6"/>
      <c r="T234" s="11">
        <f>IF(R234&lt;&gt;"",R234/(1-IF(S234&lt;&gt;"",S234,$E$3)),IF(N234="","",N234*(1+$B$3)))</f>
      </c>
    </row>
    <row r="235" spans="1:20" x14ac:dyDescent="0.25">
      <c r="A235" s="5" t="s">
        <v>453</v>
      </c>
      <c r="B235" s="5" t="s">
        <v>475</v>
      </c>
      <c r="C235" s="5" t="s">
        <v>477</v>
      </c>
      <c r="D235" s="5" t="s">
        <v>155</v>
      </c>
      <c r="E235" s="8"/>
      <c r="F235" s="8"/>
      <c r="G235" s="8"/>
      <c r="H235" s="9">
        <v>38.06</v>
      </c>
      <c r="I235" s="8"/>
      <c r="J235" s="8"/>
      <c r="K235" s="10">
        <f>IF(COUNT(E235:J235)=0,"",MIN(E235:J235))</f>
      </c>
      <c r="L235" s="10">
        <f>IF(COUNT(E235:J235)=0,"",MAX(E235:J235))</f>
      </c>
      <c r="M235" s="5">
        <f>COUNT(E235:J235)</f>
      </c>
      <c r="N235" s="11">
        <f>IF(COUNT(E235:J235)=0,"",MEDIAN(E235:J235))</f>
      </c>
      <c r="O235" s="8"/>
      <c r="P235" s="12">
        <f>IF(OR(O235="",N235=""),"",1-O235/N235)</f>
      </c>
      <c r="Q235" s="5" t="s">
        <v>2</v>
      </c>
      <c r="R235" s="13"/>
      <c r="S235" s="6"/>
      <c r="T235" s="11">
        <f>IF(R235&lt;&gt;"",R235/(1-IF(S235&lt;&gt;"",S235,$E$3)),IF(N235="","",N235*(1+$B$3)))</f>
      </c>
    </row>
    <row r="236" spans="1:20" x14ac:dyDescent="0.25">
      <c r="A236" s="5" t="s">
        <v>453</v>
      </c>
      <c r="B236" s="5" t="s">
        <v>475</v>
      </c>
      <c r="C236" s="5" t="s">
        <v>478</v>
      </c>
      <c r="D236" s="5" t="s">
        <v>155</v>
      </c>
      <c r="E236" s="8"/>
      <c r="F236" s="8"/>
      <c r="G236" s="8"/>
      <c r="H236" s="8"/>
      <c r="I236" s="9">
        <v>19.03</v>
      </c>
      <c r="J236" s="8"/>
      <c r="K236" s="10">
        <f>IF(COUNT(E236:J236)=0,"",MIN(E236:J236))</f>
      </c>
      <c r="L236" s="10">
        <f>IF(COUNT(E236:J236)=0,"",MAX(E236:J236))</f>
      </c>
      <c r="M236" s="5">
        <f>COUNT(E236:J236)</f>
      </c>
      <c r="N236" s="11">
        <f>IF(COUNT(E236:J236)=0,"",MEDIAN(E236:J236))</f>
      </c>
      <c r="O236" s="8"/>
      <c r="P236" s="12">
        <f>IF(OR(O236="",N236=""),"",1-O236/N236)</f>
      </c>
      <c r="Q236" s="5" t="s">
        <v>2</v>
      </c>
      <c r="R236" s="13"/>
      <c r="S236" s="6"/>
      <c r="T236" s="11">
        <f>IF(R236&lt;&gt;"",R236/(1-IF(S236&lt;&gt;"",S236,$E$3)),IF(N236="","",N236*(1+$B$3)))</f>
      </c>
    </row>
    <row r="237" spans="1:20" x14ac:dyDescent="0.25">
      <c r="A237" s="5" t="s">
        <v>453</v>
      </c>
      <c r="B237" s="5" t="s">
        <v>479</v>
      </c>
      <c r="C237" s="5" t="s">
        <v>480</v>
      </c>
      <c r="D237" s="5" t="s">
        <v>329</v>
      </c>
      <c r="E237" s="8"/>
      <c r="F237" s="8"/>
      <c r="G237" s="8"/>
      <c r="H237" s="8"/>
      <c r="I237" s="8"/>
      <c r="J237" s="9">
        <v>19.03</v>
      </c>
      <c r="K237" s="10">
        <f>IF(COUNT(E237:J237)=0,"",MIN(E237:J237))</f>
      </c>
      <c r="L237" s="10">
        <f>IF(COUNT(E237:J237)=0,"",MAX(E237:J237))</f>
      </c>
      <c r="M237" s="5">
        <f>COUNT(E237:J237)</f>
      </c>
      <c r="N237" s="11">
        <f>IF(COUNT(E237:J237)=0,"",MEDIAN(E237:J237))</f>
      </c>
      <c r="O237" s="8"/>
      <c r="P237" s="12">
        <f>IF(OR(O237="",N237=""),"",1-O237/N237)</f>
      </c>
      <c r="Q237" s="5" t="s">
        <v>2</v>
      </c>
      <c r="R237" s="13"/>
      <c r="S237" s="6"/>
      <c r="T237" s="11">
        <f>IF(R237&lt;&gt;"",R237/(1-IF(S237&lt;&gt;"",S237,$E$3)),IF(N237="","",N237*(1+$B$3)))</f>
      </c>
    </row>
    <row r="238" spans="1:20" x14ac:dyDescent="0.25">
      <c r="A238" s="5" t="s">
        <v>453</v>
      </c>
      <c r="B238" s="5" t="s">
        <v>481</v>
      </c>
      <c r="C238" s="5" t="s">
        <v>482</v>
      </c>
      <c r="D238" s="5" t="s">
        <v>155</v>
      </c>
      <c r="E238" s="8"/>
      <c r="F238" s="8"/>
      <c r="G238" s="8"/>
      <c r="H238" s="8"/>
      <c r="I238" s="8"/>
      <c r="J238" s="9">
        <v>32.98</v>
      </c>
      <c r="K238" s="10">
        <f>IF(COUNT(E238:J238)=0,"",MIN(E238:J238))</f>
      </c>
      <c r="L238" s="10">
        <f>IF(COUNT(E238:J238)=0,"",MAX(E238:J238))</f>
      </c>
      <c r="M238" s="5">
        <f>COUNT(E238:J238)</f>
      </c>
      <c r="N238" s="11">
        <f>IF(COUNT(E238:J238)=0,"",MEDIAN(E238:J238))</f>
      </c>
      <c r="O238" s="8"/>
      <c r="P238" s="12">
        <f>IF(OR(O238="",N238=""),"",1-O238/N238)</f>
      </c>
      <c r="Q238" s="5" t="s">
        <v>2</v>
      </c>
      <c r="R238" s="13"/>
      <c r="S238" s="6"/>
      <c r="T238" s="11">
        <f>IF(R238&lt;&gt;"",R238/(1-IF(S238&lt;&gt;"",S238,$E$3)),IF(N238="","",N238*(1+$B$3)))</f>
      </c>
    </row>
    <row r="239" spans="1:20" x14ac:dyDescent="0.25">
      <c r="A239" s="5" t="s">
        <v>453</v>
      </c>
      <c r="B239" s="5" t="s">
        <v>483</v>
      </c>
      <c r="C239" s="5" t="s">
        <v>484</v>
      </c>
      <c r="D239" s="5" t="s">
        <v>155</v>
      </c>
      <c r="E239" s="9">
        <v>55.8</v>
      </c>
      <c r="F239" s="8"/>
      <c r="G239" s="8"/>
      <c r="H239" s="8"/>
      <c r="I239" s="8"/>
      <c r="J239" s="8"/>
      <c r="K239" s="10">
        <f>IF(COUNT(E239:J239)=0,"",MIN(E239:J239))</f>
      </c>
      <c r="L239" s="10">
        <f>IF(COUNT(E239:J239)=0,"",MAX(E239:J239))</f>
      </c>
      <c r="M239" s="5">
        <f>COUNT(E239:J239)</f>
      </c>
      <c r="N239" s="11">
        <f>IF(COUNT(E239:J239)=0,"",MEDIAN(E239:J239))</f>
      </c>
      <c r="O239" s="8"/>
      <c r="P239" s="12">
        <f>IF(OR(O239="",N239=""),"",1-O239/N239)</f>
      </c>
      <c r="Q239" s="5" t="s">
        <v>2</v>
      </c>
      <c r="R239" s="13"/>
      <c r="S239" s="6"/>
      <c r="T239" s="11">
        <f>IF(R239&lt;&gt;"",R239/(1-IF(S239&lt;&gt;"",S239,$E$3)),IF(N239="","",N239*(1+$B$3)))</f>
      </c>
    </row>
    <row r="240" spans="1:20" x14ac:dyDescent="0.25">
      <c r="A240" s="5" t="s">
        <v>453</v>
      </c>
      <c r="B240" s="5" t="s">
        <v>485</v>
      </c>
      <c r="C240" s="5" t="s">
        <v>486</v>
      </c>
      <c r="D240" s="5" t="s">
        <v>155</v>
      </c>
      <c r="E240" s="9">
        <v>52.8</v>
      </c>
      <c r="F240" s="8"/>
      <c r="G240" s="8"/>
      <c r="H240" s="8"/>
      <c r="I240" s="8"/>
      <c r="J240" s="8"/>
      <c r="K240" s="10">
        <f>IF(COUNT(E240:J240)=0,"",MIN(E240:J240))</f>
      </c>
      <c r="L240" s="10">
        <f>IF(COUNT(E240:J240)=0,"",MAX(E240:J240))</f>
      </c>
      <c r="M240" s="5">
        <f>COUNT(E240:J240)</f>
      </c>
      <c r="N240" s="11">
        <f>IF(COUNT(E240:J240)=0,"",MEDIAN(E240:J240))</f>
      </c>
      <c r="O240" s="8"/>
      <c r="P240" s="12">
        <f>IF(OR(O240="",N240=""),"",1-O240/N240)</f>
      </c>
      <c r="Q240" s="5" t="s">
        <v>2</v>
      </c>
      <c r="R240" s="13"/>
      <c r="S240" s="6"/>
      <c r="T240" s="11">
        <f>IF(R240&lt;&gt;"",R240/(1-IF(S240&lt;&gt;"",S240,$E$3)),IF(N240="","",N240*(1+$B$3)))</f>
      </c>
    </row>
    <row r="241" spans="1:20" x14ac:dyDescent="0.25">
      <c r="A241" s="5" t="s">
        <v>453</v>
      </c>
      <c r="B241" s="5" t="s">
        <v>487</v>
      </c>
      <c r="C241" s="5" t="s">
        <v>462</v>
      </c>
      <c r="D241" s="5" t="s">
        <v>155</v>
      </c>
      <c r="E241" s="9">
        <v>74.4</v>
      </c>
      <c r="F241" s="8"/>
      <c r="G241" s="8"/>
      <c r="H241" s="8"/>
      <c r="I241" s="8"/>
      <c r="J241" s="8"/>
      <c r="K241" s="10">
        <f>IF(COUNT(E241:J241)=0,"",MIN(E241:J241))</f>
      </c>
      <c r="L241" s="10">
        <f>IF(COUNT(E241:J241)=0,"",MAX(E241:J241))</f>
      </c>
      <c r="M241" s="5">
        <f>COUNT(E241:J241)</f>
      </c>
      <c r="N241" s="11">
        <f>IF(COUNT(E241:J241)=0,"",MEDIAN(E241:J241))</f>
      </c>
      <c r="O241" s="8"/>
      <c r="P241" s="12">
        <f>IF(OR(O241="",N241=""),"",1-O241/N241)</f>
      </c>
      <c r="Q241" s="5" t="s">
        <v>2</v>
      </c>
      <c r="R241" s="13"/>
      <c r="S241" s="6"/>
      <c r="T241" s="11">
        <f>IF(R241&lt;&gt;"",R241/(1-IF(S241&lt;&gt;"",S241,$E$3)),IF(N241="","",N241*(1+$B$3)))</f>
      </c>
    </row>
    <row r="242" spans="1:20" x14ac:dyDescent="0.25">
      <c r="A242" s="5" t="s">
        <v>453</v>
      </c>
      <c r="B242" s="5" t="s">
        <v>488</v>
      </c>
      <c r="C242" s="5" t="s">
        <v>489</v>
      </c>
      <c r="D242" s="5" t="s">
        <v>155</v>
      </c>
      <c r="E242" s="8"/>
      <c r="F242" s="8"/>
      <c r="G242" s="8"/>
      <c r="H242" s="9">
        <v>27.12</v>
      </c>
      <c r="I242" s="8"/>
      <c r="J242" s="8"/>
      <c r="K242" s="10">
        <f>IF(COUNT(E242:J242)=0,"",MIN(E242:J242))</f>
      </c>
      <c r="L242" s="10">
        <f>IF(COUNT(E242:J242)=0,"",MAX(E242:J242))</f>
      </c>
      <c r="M242" s="5">
        <f>COUNT(E242:J242)</f>
      </c>
      <c r="N242" s="11">
        <f>IF(COUNT(E242:J242)=0,"",MEDIAN(E242:J242))</f>
      </c>
      <c r="O242" s="8"/>
      <c r="P242" s="12">
        <f>IF(OR(O242="",N242=""),"",1-O242/N242)</f>
      </c>
      <c r="Q242" s="5" t="s">
        <v>2</v>
      </c>
      <c r="R242" s="13"/>
      <c r="S242" s="6"/>
      <c r="T242" s="11">
        <f>IF(R242&lt;&gt;"",R242/(1-IF(S242&lt;&gt;"",S242,$E$3)),IF(N242="","",N242*(1+$B$3)))</f>
      </c>
    </row>
    <row r="243" spans="1:20" x14ac:dyDescent="0.25">
      <c r="A243" s="5" t="s">
        <v>453</v>
      </c>
      <c r="B243" s="5" t="s">
        <v>488</v>
      </c>
      <c r="C243" s="5" t="s">
        <v>490</v>
      </c>
      <c r="D243" s="5" t="s">
        <v>155</v>
      </c>
      <c r="E243" s="8"/>
      <c r="F243" s="8"/>
      <c r="G243" s="8"/>
      <c r="H243" s="8"/>
      <c r="I243" s="9">
        <v>13.56</v>
      </c>
      <c r="J243" s="8"/>
      <c r="K243" s="10">
        <f>IF(COUNT(E243:J243)=0,"",MIN(E243:J243))</f>
      </c>
      <c r="L243" s="10">
        <f>IF(COUNT(E243:J243)=0,"",MAX(E243:J243))</f>
      </c>
      <c r="M243" s="5">
        <f>COUNT(E243:J243)</f>
      </c>
      <c r="N243" s="11">
        <f>IF(COUNT(E243:J243)=0,"",MEDIAN(E243:J243))</f>
      </c>
      <c r="O243" s="8"/>
      <c r="P243" s="12">
        <f>IF(OR(O243="",N243=""),"",1-O243/N243)</f>
      </c>
      <c r="Q243" s="5" t="s">
        <v>2</v>
      </c>
      <c r="R243" s="13"/>
      <c r="S243" s="6"/>
      <c r="T243" s="11">
        <f>IF(R243&lt;&gt;"",R243/(1-IF(S243&lt;&gt;"",S243,$E$3)),IF(N243="","",N243*(1+$B$3)))</f>
      </c>
    </row>
    <row r="244" spans="1:20" x14ac:dyDescent="0.25">
      <c r="A244" s="5" t="s">
        <v>453</v>
      </c>
      <c r="B244" s="5" t="s">
        <v>491</v>
      </c>
      <c r="C244" s="5" t="s">
        <v>492</v>
      </c>
      <c r="D244" s="5" t="s">
        <v>329</v>
      </c>
      <c r="E244" s="8"/>
      <c r="F244" s="8"/>
      <c r="G244" s="8"/>
      <c r="H244" s="8"/>
      <c r="I244" s="8"/>
      <c r="J244" s="9">
        <v>13.56</v>
      </c>
      <c r="K244" s="10">
        <f>IF(COUNT(E244:J244)=0,"",MIN(E244:J244))</f>
      </c>
      <c r="L244" s="10">
        <f>IF(COUNT(E244:J244)=0,"",MAX(E244:J244))</f>
      </c>
      <c r="M244" s="5">
        <f>COUNT(E244:J244)</f>
      </c>
      <c r="N244" s="11">
        <f>IF(COUNT(E244:J244)=0,"",MEDIAN(E244:J244))</f>
      </c>
      <c r="O244" s="8"/>
      <c r="P244" s="12">
        <f>IF(OR(O244="",N244=""),"",1-O244/N244)</f>
      </c>
      <c r="Q244" s="5" t="s">
        <v>2</v>
      </c>
      <c r="R244" s="13"/>
      <c r="S244" s="6"/>
      <c r="T244" s="11">
        <f>IF(R244&lt;&gt;"",R244/(1-IF(S244&lt;&gt;"",S244,$E$3)),IF(N244="","",N244*(1+$B$3)))</f>
      </c>
    </row>
    <row r="245" spans="1:20" x14ac:dyDescent="0.25">
      <c r="A245" s="5" t="s">
        <v>453</v>
      </c>
      <c r="B245" s="5" t="s">
        <v>493</v>
      </c>
      <c r="C245" s="5" t="s">
        <v>494</v>
      </c>
      <c r="D245" s="5" t="s">
        <v>155</v>
      </c>
      <c r="E245" s="8"/>
      <c r="F245" s="8"/>
      <c r="G245" s="8"/>
      <c r="H245" s="8"/>
      <c r="I245" s="8"/>
      <c r="J245" s="9">
        <v>23.5</v>
      </c>
      <c r="K245" s="10">
        <f>IF(COUNT(E245:J245)=0,"",MIN(E245:J245))</f>
      </c>
      <c r="L245" s="10">
        <f>IF(COUNT(E245:J245)=0,"",MAX(E245:J245))</f>
      </c>
      <c r="M245" s="5">
        <f>COUNT(E245:J245)</f>
      </c>
      <c r="N245" s="11">
        <f>IF(COUNT(E245:J245)=0,"",MEDIAN(E245:J245))</f>
      </c>
      <c r="O245" s="8"/>
      <c r="P245" s="12">
        <f>IF(OR(O245="",N245=""),"",1-O245/N245)</f>
      </c>
      <c r="Q245" s="5" t="s">
        <v>2</v>
      </c>
      <c r="R245" s="13"/>
      <c r="S245" s="6"/>
      <c r="T245" s="11">
        <f>IF(R245&lt;&gt;"",R245/(1-IF(S245&lt;&gt;"",S245,$E$3)),IF(N245="","",N245*(1+$B$3)))</f>
      </c>
    </row>
    <row r="246" spans="1:20" x14ac:dyDescent="0.25">
      <c r="A246" s="5" t="s">
        <v>453</v>
      </c>
      <c r="B246" s="5" t="s">
        <v>495</v>
      </c>
      <c r="C246" s="5" t="s">
        <v>496</v>
      </c>
      <c r="D246" s="5" t="s">
        <v>155</v>
      </c>
      <c r="E246" s="9">
        <v>13.56</v>
      </c>
      <c r="F246" s="8"/>
      <c r="G246" s="8"/>
      <c r="H246" s="8"/>
      <c r="I246" s="8"/>
      <c r="J246" s="8"/>
      <c r="K246" s="10">
        <f>IF(COUNT(E246:J246)=0,"",MIN(E246:J246))</f>
      </c>
      <c r="L246" s="10">
        <f>IF(COUNT(E246:J246)=0,"",MAX(E246:J246))</f>
      </c>
      <c r="M246" s="5">
        <f>COUNT(E246:J246)</f>
      </c>
      <c r="N246" s="11">
        <f>IF(COUNT(E246:J246)=0,"",MEDIAN(E246:J246))</f>
      </c>
      <c r="O246" s="8"/>
      <c r="P246" s="12">
        <f>IF(OR(O246="",N246=""),"",1-O246/N246)</f>
      </c>
      <c r="Q246" s="5" t="s">
        <v>2</v>
      </c>
      <c r="R246" s="13"/>
      <c r="S246" s="6"/>
      <c r="T246" s="11">
        <f>IF(R246&lt;&gt;"",R246/(1-IF(S246&lt;&gt;"",S246,$E$3)),IF(N246="","",N246*(1+$B$3)))</f>
      </c>
    </row>
    <row r="247" spans="1:20" x14ac:dyDescent="0.25">
      <c r="A247" s="5" t="s">
        <v>453</v>
      </c>
      <c r="B247" s="5" t="s">
        <v>497</v>
      </c>
      <c r="C247" s="5" t="s">
        <v>498</v>
      </c>
      <c r="D247" s="5" t="s">
        <v>155</v>
      </c>
      <c r="E247" s="9">
        <v>13.56</v>
      </c>
      <c r="F247" s="8"/>
      <c r="G247" s="8"/>
      <c r="H247" s="8"/>
      <c r="I247" s="8"/>
      <c r="J247" s="8"/>
      <c r="K247" s="10">
        <f>IF(COUNT(E247:J247)=0,"",MIN(E247:J247))</f>
      </c>
      <c r="L247" s="10">
        <f>IF(COUNT(E247:J247)=0,"",MAX(E247:J247))</f>
      </c>
      <c r="M247" s="5">
        <f>COUNT(E247:J247)</f>
      </c>
      <c r="N247" s="11">
        <f>IF(COUNT(E247:J247)=0,"",MEDIAN(E247:J247))</f>
      </c>
      <c r="O247" s="8"/>
      <c r="P247" s="12">
        <f>IF(OR(O247="",N247=""),"",1-O247/N247)</f>
      </c>
      <c r="Q247" s="5" t="s">
        <v>2</v>
      </c>
      <c r="R247" s="13"/>
      <c r="S247" s="6"/>
      <c r="T247" s="11">
        <f>IF(R247&lt;&gt;"",R247/(1-IF(S247&lt;&gt;"",S247,$E$3)),IF(N247="","",N247*(1+$B$3)))</f>
      </c>
    </row>
    <row r="248" spans="1:20" x14ac:dyDescent="0.25">
      <c r="A248" s="5" t="s">
        <v>453</v>
      </c>
      <c r="B248" s="5" t="s">
        <v>499</v>
      </c>
      <c r="C248" s="5" t="s">
        <v>500</v>
      </c>
      <c r="D248" s="5" t="s">
        <v>155</v>
      </c>
      <c r="E248" s="9">
        <v>19.03</v>
      </c>
      <c r="F248" s="8"/>
      <c r="G248" s="8"/>
      <c r="H248" s="8"/>
      <c r="I248" s="8"/>
      <c r="J248" s="8"/>
      <c r="K248" s="10">
        <f>IF(COUNT(E248:J248)=0,"",MIN(E248:J248))</f>
      </c>
      <c r="L248" s="10">
        <f>IF(COUNT(E248:J248)=0,"",MAX(E248:J248))</f>
      </c>
      <c r="M248" s="5">
        <f>COUNT(E248:J248)</f>
      </c>
      <c r="N248" s="11">
        <f>IF(COUNT(E248:J248)=0,"",MEDIAN(E248:J248))</f>
      </c>
      <c r="O248" s="8"/>
      <c r="P248" s="12">
        <f>IF(OR(O248="",N248=""),"",1-O248/N248)</f>
      </c>
      <c r="Q248" s="5" t="s">
        <v>2</v>
      </c>
      <c r="R248" s="13"/>
      <c r="S248" s="6"/>
      <c r="T248" s="11">
        <f>IF(R248&lt;&gt;"",R248/(1-IF(S248&lt;&gt;"",S248,$E$3)),IF(N248="","",N248*(1+$B$3)))</f>
      </c>
    </row>
    <row r="249" spans="1:20" x14ac:dyDescent="0.25">
      <c r="A249" s="5" t="s">
        <v>453</v>
      </c>
      <c r="B249" s="5" t="s">
        <v>501</v>
      </c>
      <c r="C249" s="5" t="s">
        <v>502</v>
      </c>
      <c r="D249" s="5" t="s">
        <v>155</v>
      </c>
      <c r="E249" s="9">
        <v>19.03</v>
      </c>
      <c r="F249" s="8"/>
      <c r="G249" s="8"/>
      <c r="H249" s="8"/>
      <c r="I249" s="8"/>
      <c r="J249" s="8"/>
      <c r="K249" s="10">
        <f>IF(COUNT(E249:J249)=0,"",MIN(E249:J249))</f>
      </c>
      <c r="L249" s="10">
        <f>IF(COUNT(E249:J249)=0,"",MAX(E249:J249))</f>
      </c>
      <c r="M249" s="5">
        <f>COUNT(E249:J249)</f>
      </c>
      <c r="N249" s="11">
        <f>IF(COUNT(E249:J249)=0,"",MEDIAN(E249:J249))</f>
      </c>
      <c r="O249" s="8"/>
      <c r="P249" s="12">
        <f>IF(OR(O249="",N249=""),"",1-O249/N249)</f>
      </c>
      <c r="Q249" s="5" t="s">
        <v>2</v>
      </c>
      <c r="R249" s="13"/>
      <c r="S249" s="6"/>
      <c r="T249" s="11">
        <f>IF(R249&lt;&gt;"",R249/(1-IF(S249&lt;&gt;"",S249,$E$3)),IF(N249="","",N249*(1+$B$3)))</f>
      </c>
    </row>
    <row r="250" spans="1:20" x14ac:dyDescent="0.25">
      <c r="A250" s="5" t="s">
        <v>453</v>
      </c>
      <c r="B250" s="5" t="s">
        <v>503</v>
      </c>
      <c r="C250" s="5" t="s">
        <v>504</v>
      </c>
      <c r="D250" s="5" t="s">
        <v>155</v>
      </c>
      <c r="E250" s="9">
        <v>85</v>
      </c>
      <c r="F250" s="8"/>
      <c r="G250" s="8"/>
      <c r="H250" s="8"/>
      <c r="I250" s="8"/>
      <c r="J250" s="8"/>
      <c r="K250" s="10">
        <f>IF(COUNT(E250:J250)=0,"",MIN(E250:J250))</f>
      </c>
      <c r="L250" s="10">
        <f>IF(COUNT(E250:J250)=0,"",MAX(E250:J250))</f>
      </c>
      <c r="M250" s="5">
        <f>COUNT(E250:J250)</f>
      </c>
      <c r="N250" s="11">
        <f>IF(COUNT(E250:J250)=0,"",MEDIAN(E250:J250))</f>
      </c>
      <c r="O250" s="8"/>
      <c r="P250" s="12">
        <f>IF(OR(O250="",N250=""),"",1-O250/N250)</f>
      </c>
      <c r="Q250" s="5" t="s">
        <v>2</v>
      </c>
      <c r="R250" s="13"/>
      <c r="S250" s="6"/>
      <c r="T250" s="11">
        <f>IF(R250&lt;&gt;"",R250/(1-IF(S250&lt;&gt;"",S250,$E$3)),IF(N250="","",N250*(1+$B$3)))</f>
      </c>
    </row>
    <row r="251" spans="1:20" x14ac:dyDescent="0.25">
      <c r="A251" s="14" t="s">
        <v>505</v>
      </c>
      <c r="B251" s="14" t="s">
        <v>506</v>
      </c>
      <c r="C251" s="14" t="s">
        <v>507</v>
      </c>
      <c r="D251" s="14" t="s">
        <v>2</v>
      </c>
      <c r="E251" s="18"/>
      <c r="F251" s="18"/>
      <c r="G251" s="18"/>
      <c r="H251" s="15">
        <v>53</v>
      </c>
      <c r="I251" s="18"/>
      <c r="J251" s="18"/>
      <c r="K251" s="16">
        <f>IF(COUNT(E251:J251)=0,"",MIN(E251:J251))</f>
      </c>
      <c r="L251" s="16">
        <f>IF(COUNT(E251:J251)=0,"",MAX(E251:J251))</f>
      </c>
      <c r="M251" s="14">
        <f>COUNT(E251:J251)</f>
      </c>
      <c r="N251" s="17">
        <f>IF(COUNT(E251:J251)=0,"",MEDIAN(E251:J251))</f>
      </c>
      <c r="O251" s="18"/>
      <c r="P251" s="19">
        <f>IF(OR(O251="",N251=""),"",1-O251/N251)</f>
      </c>
      <c r="Q251" s="14" t="s">
        <v>2</v>
      </c>
      <c r="R251" s="13"/>
      <c r="S251" s="6"/>
      <c r="T251" s="11">
        <f>IF(R251&lt;&gt;"",R251/(1-IF(S251&lt;&gt;"",S251,$E$3)),IF(N251="","",N251*(1+$B$3)))</f>
      </c>
    </row>
    <row r="252" spans="1:20" x14ac:dyDescent="0.25">
      <c r="A252" s="14" t="s">
        <v>505</v>
      </c>
      <c r="B252" s="14" t="s">
        <v>508</v>
      </c>
      <c r="C252" s="14" t="s">
        <v>509</v>
      </c>
      <c r="D252" s="14" t="s">
        <v>178</v>
      </c>
      <c r="E252" s="15">
        <v>20</v>
      </c>
      <c r="F252" s="18"/>
      <c r="G252" s="18"/>
      <c r="H252" s="18"/>
      <c r="I252" s="18"/>
      <c r="J252" s="18"/>
      <c r="K252" s="16">
        <f>IF(COUNT(E252:J252)=0,"",MIN(E252:J252))</f>
      </c>
      <c r="L252" s="16">
        <f>IF(COUNT(E252:J252)=0,"",MAX(E252:J252))</f>
      </c>
      <c r="M252" s="14">
        <f>COUNT(E252:J252)</f>
      </c>
      <c r="N252" s="17">
        <f>IF(COUNT(E252:J252)=0,"",MEDIAN(E252:J252))</f>
      </c>
      <c r="O252" s="18"/>
      <c r="P252" s="19">
        <f>IF(OR(O252="",N252=""),"",1-O252/N252)</f>
      </c>
      <c r="Q252" s="14" t="s">
        <v>2</v>
      </c>
      <c r="R252" s="13"/>
      <c r="S252" s="6"/>
      <c r="T252" s="11">
        <f>IF(R252&lt;&gt;"",R252/(1-IF(S252&lt;&gt;"",S252,$E$3)),IF(N252="","",N252*(1+$B$3)))</f>
      </c>
    </row>
    <row r="253" spans="1:20" x14ac:dyDescent="0.25">
      <c r="A253" s="14" t="s">
        <v>505</v>
      </c>
      <c r="B253" s="14" t="s">
        <v>508</v>
      </c>
      <c r="C253" s="14" t="s">
        <v>510</v>
      </c>
      <c r="D253" s="14" t="s">
        <v>178</v>
      </c>
      <c r="E253" s="18"/>
      <c r="F253" s="15">
        <v>20</v>
      </c>
      <c r="G253" s="18"/>
      <c r="H253" s="15">
        <v>20</v>
      </c>
      <c r="I253" s="15">
        <v>20</v>
      </c>
      <c r="J253" s="15">
        <v>20</v>
      </c>
      <c r="K253" s="16">
        <f>IF(COUNT(E253:J253)=0,"",MIN(E253:J253))</f>
      </c>
      <c r="L253" s="16">
        <f>IF(COUNT(E253:J253)=0,"",MAX(E253:J253))</f>
      </c>
      <c r="M253" s="14">
        <f>COUNT(E253:J253)</f>
      </c>
      <c r="N253" s="17">
        <f>IF(COUNT(E253:J253)=0,"",MEDIAN(E253:J253))</f>
      </c>
      <c r="O253" s="18"/>
      <c r="P253" s="19">
        <f>IF(OR(O253="",N253=""),"",1-O253/N253)</f>
      </c>
      <c r="Q253" s="14" t="s">
        <v>2</v>
      </c>
      <c r="R253" s="13"/>
      <c r="S253" s="6"/>
      <c r="T253" s="11">
        <f>IF(R253&lt;&gt;"",R253/(1-IF(S253&lt;&gt;"",S253,$E$3)),IF(N253="","",N253*(1+$B$3)))</f>
      </c>
    </row>
    <row r="254" spans="1:20" x14ac:dyDescent="0.25">
      <c r="A254" s="14" t="s">
        <v>505</v>
      </c>
      <c r="B254" s="14" t="s">
        <v>511</v>
      </c>
      <c r="C254" s="14" t="s">
        <v>512</v>
      </c>
      <c r="D254" s="14" t="s">
        <v>178</v>
      </c>
      <c r="E254" s="15">
        <v>16.2</v>
      </c>
      <c r="F254" s="15">
        <v>16.2</v>
      </c>
      <c r="G254" s="18"/>
      <c r="H254" s="15">
        <v>16.2</v>
      </c>
      <c r="I254" s="15">
        <v>16.2</v>
      </c>
      <c r="J254" s="15">
        <v>16.2</v>
      </c>
      <c r="K254" s="16">
        <f>IF(COUNT(E254:J254)=0,"",MIN(E254:J254))</f>
      </c>
      <c r="L254" s="16">
        <f>IF(COUNT(E254:J254)=0,"",MAX(E254:J254))</f>
      </c>
      <c r="M254" s="14">
        <f>COUNT(E254:J254)</f>
      </c>
      <c r="N254" s="17">
        <f>IF(COUNT(E254:J254)=0,"",MEDIAN(E254:J254))</f>
      </c>
      <c r="O254" s="18"/>
      <c r="P254" s="19">
        <f>IF(OR(O254="",N254=""),"",1-O254/N254)</f>
      </c>
      <c r="Q254" s="14" t="s">
        <v>2</v>
      </c>
      <c r="R254" s="13"/>
      <c r="S254" s="6"/>
      <c r="T254" s="11">
        <f>IF(R254&lt;&gt;"",R254/(1-IF(S254&lt;&gt;"",S254,$E$3)),IF(N254="","",N254*(1+$B$3)))</f>
      </c>
    </row>
    <row r="255" spans="1:20" x14ac:dyDescent="0.25">
      <c r="A255" s="14" t="s">
        <v>505</v>
      </c>
      <c r="B255" s="14" t="s">
        <v>513</v>
      </c>
      <c r="C255" s="14" t="s">
        <v>514</v>
      </c>
      <c r="D255" s="14" t="s">
        <v>2</v>
      </c>
      <c r="E255" s="18"/>
      <c r="F255" s="18"/>
      <c r="G255" s="18"/>
      <c r="H255" s="18"/>
      <c r="I255" s="18"/>
      <c r="J255" s="15">
        <v>321.08</v>
      </c>
      <c r="K255" s="16">
        <f>IF(COUNT(E255:J255)=0,"",MIN(E255:J255))</f>
      </c>
      <c r="L255" s="16">
        <f>IF(COUNT(E255:J255)=0,"",MAX(E255:J255))</f>
      </c>
      <c r="M255" s="14">
        <f>COUNT(E255:J255)</f>
      </c>
      <c r="N255" s="17">
        <f>IF(COUNT(E255:J255)=0,"",MEDIAN(E255:J255))</f>
      </c>
      <c r="O255" s="18"/>
      <c r="P255" s="19">
        <f>IF(OR(O255="",N255=""),"",1-O255/N255)</f>
      </c>
      <c r="Q255" s="14" t="s">
        <v>2</v>
      </c>
      <c r="R255" s="13"/>
      <c r="S255" s="6"/>
      <c r="T255" s="11">
        <f>IF(R255&lt;&gt;"",R255/(1-IF(S255&lt;&gt;"",S255,$E$3)),IF(N255="","",N255*(1+$B$3)))</f>
      </c>
    </row>
    <row r="256" spans="1:20" x14ac:dyDescent="0.25">
      <c r="A256" s="14" t="s">
        <v>505</v>
      </c>
      <c r="B256" s="14" t="s">
        <v>515</v>
      </c>
      <c r="C256" s="14" t="s">
        <v>516</v>
      </c>
      <c r="D256" s="14" t="s">
        <v>155</v>
      </c>
      <c r="E256" s="18"/>
      <c r="F256" s="18"/>
      <c r="G256" s="18"/>
      <c r="H256" s="15">
        <v>46</v>
      </c>
      <c r="I256" s="18"/>
      <c r="J256" s="18"/>
      <c r="K256" s="16">
        <f>IF(COUNT(E256:J256)=0,"",MIN(E256:J256))</f>
      </c>
      <c r="L256" s="16">
        <f>IF(COUNT(E256:J256)=0,"",MAX(E256:J256))</f>
      </c>
      <c r="M256" s="14">
        <f>COUNT(E256:J256)</f>
      </c>
      <c r="N256" s="17">
        <f>IF(COUNT(E256:J256)=0,"",MEDIAN(E256:J256))</f>
      </c>
      <c r="O256" s="18"/>
      <c r="P256" s="19">
        <f>IF(OR(O256="",N256=""),"",1-O256/N256)</f>
      </c>
      <c r="Q256" s="14" t="s">
        <v>2</v>
      </c>
      <c r="R256" s="13"/>
      <c r="S256" s="6"/>
      <c r="T256" s="11">
        <f>IF(R256&lt;&gt;"",R256/(1-IF(S256&lt;&gt;"",S256,$E$3)),IF(N256="","",N256*(1+$B$3)))</f>
      </c>
    </row>
    <row r="257" spans="1:20" x14ac:dyDescent="0.25">
      <c r="A257" s="14" t="s">
        <v>505</v>
      </c>
      <c r="B257" s="14" t="s">
        <v>517</v>
      </c>
      <c r="C257" s="14" t="s">
        <v>514</v>
      </c>
      <c r="D257" s="14" t="s">
        <v>155</v>
      </c>
      <c r="E257" s="15">
        <v>45</v>
      </c>
      <c r="F257" s="18"/>
      <c r="G257" s="18"/>
      <c r="H257" s="18"/>
      <c r="I257" s="15">
        <v>45</v>
      </c>
      <c r="J257" s="18"/>
      <c r="K257" s="16">
        <f>IF(COUNT(E257:J257)=0,"",MIN(E257:J257))</f>
      </c>
      <c r="L257" s="16">
        <f>IF(COUNT(E257:J257)=0,"",MAX(E257:J257))</f>
      </c>
      <c r="M257" s="14">
        <f>COUNT(E257:J257)</f>
      </c>
      <c r="N257" s="17">
        <f>IF(COUNT(E257:J257)=0,"",MEDIAN(E257:J257))</f>
      </c>
      <c r="O257" s="18"/>
      <c r="P257" s="19">
        <f>IF(OR(O257="",N257=""),"",1-O257/N257)</f>
      </c>
      <c r="Q257" s="14" t="s">
        <v>2</v>
      </c>
      <c r="R257" s="13"/>
      <c r="S257" s="6"/>
      <c r="T257" s="11">
        <f>IF(R257&lt;&gt;"",R257/(1-IF(S257&lt;&gt;"",S257,$E$3)),IF(N257="","",N257*(1+$B$3)))</f>
      </c>
    </row>
    <row r="258" spans="1:20" x14ac:dyDescent="0.25">
      <c r="A258" s="14" t="s">
        <v>505</v>
      </c>
      <c r="B258" s="14" t="s">
        <v>518</v>
      </c>
      <c r="C258" s="14" t="s">
        <v>519</v>
      </c>
      <c r="D258" s="14" t="s">
        <v>155</v>
      </c>
      <c r="E258" s="15">
        <v>102</v>
      </c>
      <c r="F258" s="18"/>
      <c r="G258" s="18"/>
      <c r="H258" s="15">
        <v>102</v>
      </c>
      <c r="I258" s="18"/>
      <c r="J258" s="15">
        <v>102</v>
      </c>
      <c r="K258" s="16">
        <f>IF(COUNT(E258:J258)=0,"",MIN(E258:J258))</f>
      </c>
      <c r="L258" s="16">
        <f>IF(COUNT(E258:J258)=0,"",MAX(E258:J258))</f>
      </c>
      <c r="M258" s="14">
        <f>COUNT(E258:J258)</f>
      </c>
      <c r="N258" s="17">
        <f>IF(COUNT(E258:J258)=0,"",MEDIAN(E258:J258))</f>
      </c>
      <c r="O258" s="18"/>
      <c r="P258" s="19">
        <f>IF(OR(O258="",N258=""),"",1-O258/N258)</f>
      </c>
      <c r="Q258" s="14" t="s">
        <v>2</v>
      </c>
      <c r="R258" s="13"/>
      <c r="S258" s="6"/>
      <c r="T258" s="11">
        <f>IF(R258&lt;&gt;"",R258/(1-IF(S258&lt;&gt;"",S258,$E$3)),IF(N258="","",N258*(1+$B$3)))</f>
      </c>
    </row>
    <row r="259" spans="1:20" x14ac:dyDescent="0.25">
      <c r="A259" s="14" t="s">
        <v>505</v>
      </c>
      <c r="B259" s="14" t="s">
        <v>520</v>
      </c>
      <c r="C259" s="14" t="s">
        <v>521</v>
      </c>
      <c r="D259" s="14" t="s">
        <v>155</v>
      </c>
      <c r="E259" s="15">
        <v>78</v>
      </c>
      <c r="F259" s="15">
        <v>78</v>
      </c>
      <c r="G259" s="18"/>
      <c r="H259" s="15">
        <v>78</v>
      </c>
      <c r="I259" s="15">
        <v>78</v>
      </c>
      <c r="J259" s="18"/>
      <c r="K259" s="16">
        <f>IF(COUNT(E259:J259)=0,"",MIN(E259:J259))</f>
      </c>
      <c r="L259" s="16">
        <f>IF(COUNT(E259:J259)=0,"",MAX(E259:J259))</f>
      </c>
      <c r="M259" s="14">
        <f>COUNT(E259:J259)</f>
      </c>
      <c r="N259" s="17">
        <f>IF(COUNT(E259:J259)=0,"",MEDIAN(E259:J259))</f>
      </c>
      <c r="O259" s="18"/>
      <c r="P259" s="19">
        <f>IF(OR(O259="",N259=""),"",1-O259/N259)</f>
      </c>
      <c r="Q259" s="14" t="s">
        <v>2</v>
      </c>
      <c r="R259" s="13"/>
      <c r="S259" s="6"/>
      <c r="T259" s="11">
        <f>IF(R259&lt;&gt;"",R259/(1-IF(S259&lt;&gt;"",S259,$E$3)),IF(N259="","",N259*(1+$B$3)))</f>
      </c>
    </row>
    <row r="260" spans="1:20" x14ac:dyDescent="0.25">
      <c r="A260" s="14" t="s">
        <v>505</v>
      </c>
      <c r="B260" s="14" t="s">
        <v>522</v>
      </c>
      <c r="C260" s="14" t="s">
        <v>523</v>
      </c>
      <c r="D260" s="14" t="s">
        <v>2</v>
      </c>
      <c r="E260" s="18"/>
      <c r="F260" s="18"/>
      <c r="G260" s="18"/>
      <c r="H260" s="18"/>
      <c r="I260" s="18"/>
      <c r="J260" s="15">
        <v>4439.78</v>
      </c>
      <c r="K260" s="16">
        <f>IF(COUNT(E260:J260)=0,"",MIN(E260:J260))</f>
      </c>
      <c r="L260" s="16">
        <f>IF(COUNT(E260:J260)=0,"",MAX(E260:J260))</f>
      </c>
      <c r="M260" s="14">
        <f>COUNT(E260:J260)</f>
      </c>
      <c r="N260" s="17">
        <f>IF(COUNT(E260:J260)=0,"",MEDIAN(E260:J260))</f>
      </c>
      <c r="O260" s="18"/>
      <c r="P260" s="19">
        <f>IF(OR(O260="",N260=""),"",1-O260/N260)</f>
      </c>
      <c r="Q260" s="14" t="s">
        <v>2</v>
      </c>
      <c r="R260" s="13"/>
      <c r="S260" s="6"/>
      <c r="T260" s="11">
        <f>IF(R260&lt;&gt;"",R260/(1-IF(S260&lt;&gt;"",S260,$E$3)),IF(N260="","",N260*(1+$B$3)))</f>
      </c>
    </row>
    <row r="261" spans="1:20" x14ac:dyDescent="0.25">
      <c r="A261" s="5" t="s">
        <v>524</v>
      </c>
      <c r="B261" s="5" t="s">
        <v>525</v>
      </c>
      <c r="C261" s="5" t="s">
        <v>526</v>
      </c>
      <c r="D261" s="5" t="s">
        <v>155</v>
      </c>
      <c r="E261" s="9">
        <v>82.8</v>
      </c>
      <c r="F261" s="8"/>
      <c r="G261" s="8"/>
      <c r="H261" s="9">
        <v>82.8</v>
      </c>
      <c r="I261" s="8"/>
      <c r="J261" s="8"/>
      <c r="K261" s="10">
        <f>IF(COUNT(E261:J261)=0,"",MIN(E261:J261))</f>
      </c>
      <c r="L261" s="10">
        <f>IF(COUNT(E261:J261)=0,"",MAX(E261:J261))</f>
      </c>
      <c r="M261" s="5">
        <f>COUNT(E261:J261)</f>
      </c>
      <c r="N261" s="11">
        <f>IF(COUNT(E261:J261)=0,"",MEDIAN(E261:J261))</f>
      </c>
      <c r="O261" s="8"/>
      <c r="P261" s="12">
        <f>IF(OR(O261="",N261=""),"",1-O261/N261)</f>
      </c>
      <c r="Q261" s="5" t="s">
        <v>2</v>
      </c>
      <c r="R261" s="13"/>
      <c r="S261" s="6"/>
      <c r="T261" s="11">
        <f>IF(R261&lt;&gt;"",R261/(1-IF(S261&lt;&gt;"",S261,$E$3)),IF(N261="","",N261*(1+$B$3)))</f>
      </c>
    </row>
    <row r="262" spans="1:20" x14ac:dyDescent="0.25">
      <c r="A262" s="5" t="s">
        <v>524</v>
      </c>
      <c r="B262" s="5" t="s">
        <v>527</v>
      </c>
      <c r="C262" s="5" t="s">
        <v>528</v>
      </c>
      <c r="D262" s="5" t="s">
        <v>155</v>
      </c>
      <c r="E262" s="8"/>
      <c r="F262" s="9">
        <v>40</v>
      </c>
      <c r="G262" s="9">
        <v>40</v>
      </c>
      <c r="H262" s="8"/>
      <c r="I262" s="8"/>
      <c r="J262" s="8"/>
      <c r="K262" s="10">
        <f>IF(COUNT(E262:J262)=0,"",MIN(E262:J262))</f>
      </c>
      <c r="L262" s="10">
        <f>IF(COUNT(E262:J262)=0,"",MAX(E262:J262))</f>
      </c>
      <c r="M262" s="5">
        <f>COUNT(E262:J262)</f>
      </c>
      <c r="N262" s="11">
        <f>IF(COUNT(E262:J262)=0,"",MEDIAN(E262:J262))</f>
      </c>
      <c r="O262" s="8"/>
      <c r="P262" s="12">
        <f>IF(OR(O262="",N262=""),"",1-O262/N262)</f>
      </c>
      <c r="Q262" s="5" t="s">
        <v>2</v>
      </c>
      <c r="R262" s="13"/>
      <c r="S262" s="6"/>
      <c r="T262" s="11">
        <f>IF(R262&lt;&gt;"",R262/(1-IF(S262&lt;&gt;"",S262,$E$3)),IF(N262="","",N262*(1+$B$3)))</f>
      </c>
    </row>
    <row r="263" spans="1:20" x14ac:dyDescent="0.25">
      <c r="A263" s="5" t="s">
        <v>524</v>
      </c>
      <c r="B263" s="5" t="s">
        <v>529</v>
      </c>
      <c r="C263" s="5" t="s">
        <v>530</v>
      </c>
      <c r="D263" s="5" t="s">
        <v>155</v>
      </c>
      <c r="E263" s="9">
        <v>52.8</v>
      </c>
      <c r="F263" s="8"/>
      <c r="G263" s="8"/>
      <c r="H263" s="9">
        <v>52.8</v>
      </c>
      <c r="I263" s="8"/>
      <c r="J263" s="8"/>
      <c r="K263" s="10">
        <f>IF(COUNT(E263:J263)=0,"",MIN(E263:J263))</f>
      </c>
      <c r="L263" s="10">
        <f>IF(COUNT(E263:J263)=0,"",MAX(E263:J263))</f>
      </c>
      <c r="M263" s="5">
        <f>COUNT(E263:J263)</f>
      </c>
      <c r="N263" s="11">
        <f>IF(COUNT(E263:J263)=0,"",MEDIAN(E263:J263))</f>
      </c>
      <c r="O263" s="8"/>
      <c r="P263" s="12">
        <f>IF(OR(O263="",N263=""),"",1-O263/N263)</f>
      </c>
      <c r="Q263" s="5" t="s">
        <v>2</v>
      </c>
      <c r="R263" s="13"/>
      <c r="S263" s="6"/>
      <c r="T263" s="11">
        <f>IF(R263&lt;&gt;"",R263/(1-IF(S263&lt;&gt;"",S263,$E$3)),IF(N263="","",N263*(1+$B$3)))</f>
      </c>
    </row>
    <row r="264" spans="1:20" x14ac:dyDescent="0.25">
      <c r="A264" s="5" t="s">
        <v>524</v>
      </c>
      <c r="B264" s="5" t="s">
        <v>531</v>
      </c>
      <c r="C264" s="5" t="s">
        <v>532</v>
      </c>
      <c r="D264" s="5" t="s">
        <v>155</v>
      </c>
      <c r="E264" s="9">
        <v>74.4</v>
      </c>
      <c r="F264" s="8"/>
      <c r="G264" s="8"/>
      <c r="H264" s="9">
        <v>74.4</v>
      </c>
      <c r="I264" s="8"/>
      <c r="J264" s="8"/>
      <c r="K264" s="10">
        <f>IF(COUNT(E264:J264)=0,"",MIN(E264:J264))</f>
      </c>
      <c r="L264" s="10">
        <f>IF(COUNT(E264:J264)=0,"",MAX(E264:J264))</f>
      </c>
      <c r="M264" s="5">
        <f>COUNT(E264:J264)</f>
      </c>
      <c r="N264" s="11">
        <f>IF(COUNT(E264:J264)=0,"",MEDIAN(E264:J264))</f>
      </c>
      <c r="O264" s="8"/>
      <c r="P264" s="12">
        <f>IF(OR(O264="",N264=""),"",1-O264/N264)</f>
      </c>
      <c r="Q264" s="5" t="s">
        <v>2</v>
      </c>
      <c r="R264" s="13"/>
      <c r="S264" s="6"/>
      <c r="T264" s="11">
        <f>IF(R264&lt;&gt;"",R264/(1-IF(S264&lt;&gt;"",S264,$E$3)),IF(N264="","",N264*(1+$B$3)))</f>
      </c>
    </row>
    <row r="265" spans="1:20" x14ac:dyDescent="0.25">
      <c r="A265" s="5" t="s">
        <v>524</v>
      </c>
      <c r="B265" s="5" t="s">
        <v>533</v>
      </c>
      <c r="C265" s="5" t="s">
        <v>534</v>
      </c>
      <c r="D265" s="5" t="s">
        <v>155</v>
      </c>
      <c r="E265" s="8"/>
      <c r="F265" s="9">
        <v>7.1</v>
      </c>
      <c r="G265" s="9">
        <v>7.1</v>
      </c>
      <c r="H265" s="8"/>
      <c r="I265" s="8"/>
      <c r="J265" s="8"/>
      <c r="K265" s="10">
        <f>IF(COUNT(E265:J265)=0,"",MIN(E265:J265))</f>
      </c>
      <c r="L265" s="10">
        <f>IF(COUNT(E265:J265)=0,"",MAX(E265:J265))</f>
      </c>
      <c r="M265" s="5">
        <f>COUNT(E265:J265)</f>
      </c>
      <c r="N265" s="11">
        <f>IF(COUNT(E265:J265)=0,"",MEDIAN(E265:J265))</f>
      </c>
      <c r="O265" s="8"/>
      <c r="P265" s="12">
        <f>IF(OR(O265="",N265=""),"",1-O265/N265)</f>
      </c>
      <c r="Q265" s="5" t="s">
        <v>2</v>
      </c>
      <c r="R265" s="13"/>
      <c r="S265" s="6"/>
      <c r="T265" s="11">
        <f>IF(R265&lt;&gt;"",R265/(1-IF(S265&lt;&gt;"",S265,$E$3)),IF(N265="","",N265*(1+$B$3)))</f>
      </c>
    </row>
    <row r="266" spans="1:20" x14ac:dyDescent="0.25">
      <c r="A266" s="5" t="s">
        <v>524</v>
      </c>
      <c r="B266" s="5" t="s">
        <v>535</v>
      </c>
      <c r="C266" s="5" t="s">
        <v>536</v>
      </c>
      <c r="D266" s="5" t="s">
        <v>155</v>
      </c>
      <c r="E266" s="8"/>
      <c r="F266" s="9">
        <v>7.8</v>
      </c>
      <c r="G266" s="9">
        <v>7.8</v>
      </c>
      <c r="H266" s="8"/>
      <c r="I266" s="8"/>
      <c r="J266" s="8"/>
      <c r="K266" s="10">
        <f>IF(COUNT(E266:J266)=0,"",MIN(E266:J266))</f>
      </c>
      <c r="L266" s="10">
        <f>IF(COUNT(E266:J266)=0,"",MAX(E266:J266))</f>
      </c>
      <c r="M266" s="5">
        <f>COUNT(E266:J266)</f>
      </c>
      <c r="N266" s="11">
        <f>IF(COUNT(E266:J266)=0,"",MEDIAN(E266:J266))</f>
      </c>
      <c r="O266" s="8"/>
      <c r="P266" s="12">
        <f>IF(OR(O266="",N266=""),"",1-O266/N266)</f>
      </c>
      <c r="Q266" s="5" t="s">
        <v>2</v>
      </c>
      <c r="R266" s="13"/>
      <c r="S266" s="6"/>
      <c r="T266" s="11">
        <f>IF(R266&lt;&gt;"",R266/(1-IF(S266&lt;&gt;"",S266,$E$3)),IF(N266="","",N266*(1+$B$3)))</f>
      </c>
    </row>
    <row r="267" spans="1:20" x14ac:dyDescent="0.25">
      <c r="A267" s="5" t="s">
        <v>524</v>
      </c>
      <c r="B267" s="5" t="s">
        <v>537</v>
      </c>
      <c r="C267" s="5" t="s">
        <v>538</v>
      </c>
      <c r="D267" s="5" t="s">
        <v>155</v>
      </c>
      <c r="E267" s="9">
        <v>13.56</v>
      </c>
      <c r="F267" s="9">
        <v>13.56</v>
      </c>
      <c r="G267" s="9">
        <v>13.56</v>
      </c>
      <c r="H267" s="9">
        <v>13.56</v>
      </c>
      <c r="I267" s="9">
        <v>13.56</v>
      </c>
      <c r="J267" s="9">
        <v>13.56</v>
      </c>
      <c r="K267" s="10">
        <f>IF(COUNT(E267:J267)=0,"",MIN(E267:J267))</f>
      </c>
      <c r="L267" s="10">
        <f>IF(COUNT(E267:J267)=0,"",MAX(E267:J267))</f>
      </c>
      <c r="M267" s="5">
        <f>COUNT(E267:J267)</f>
      </c>
      <c r="N267" s="11">
        <f>IF(COUNT(E267:J267)=0,"",MEDIAN(E267:J267))</f>
      </c>
      <c r="O267" s="8"/>
      <c r="P267" s="12">
        <f>IF(OR(O267="",N267=""),"",1-O267/N267)</f>
      </c>
      <c r="Q267" s="5" t="s">
        <v>2</v>
      </c>
      <c r="R267" s="13"/>
      <c r="S267" s="6"/>
      <c r="T267" s="11">
        <f>IF(R267&lt;&gt;"",R267/(1-IF(S267&lt;&gt;"",S267,$E$3)),IF(N267="","",N267*(1+$B$3)))</f>
      </c>
    </row>
    <row r="268" spans="1:20" x14ac:dyDescent="0.25">
      <c r="A268" s="5" t="s">
        <v>524</v>
      </c>
      <c r="B268" s="5" t="s">
        <v>539</v>
      </c>
      <c r="C268" s="5" t="s">
        <v>536</v>
      </c>
      <c r="D268" s="5" t="s">
        <v>155</v>
      </c>
      <c r="E268" s="9">
        <v>19.03</v>
      </c>
      <c r="F268" s="9">
        <v>19.03</v>
      </c>
      <c r="G268" s="9">
        <v>19.03</v>
      </c>
      <c r="H268" s="8"/>
      <c r="I268" s="8"/>
      <c r="J268" s="9">
        <v>19.03</v>
      </c>
      <c r="K268" s="10">
        <f>IF(COUNT(E268:J268)=0,"",MIN(E268:J268))</f>
      </c>
      <c r="L268" s="10">
        <f>IF(COUNT(E268:J268)=0,"",MAX(E268:J268))</f>
      </c>
      <c r="M268" s="5">
        <f>COUNT(E268:J268)</f>
      </c>
      <c r="N268" s="11">
        <f>IF(COUNT(E268:J268)=0,"",MEDIAN(E268:J268))</f>
      </c>
      <c r="O268" s="8"/>
      <c r="P268" s="12">
        <f>IF(OR(O268="",N268=""),"",1-O268/N268)</f>
      </c>
      <c r="Q268" s="5" t="s">
        <v>2</v>
      </c>
      <c r="R268" s="13"/>
      <c r="S268" s="6"/>
      <c r="T268" s="11">
        <f>IF(R268&lt;&gt;"",R268/(1-IF(S268&lt;&gt;"",S268,$E$3)),IF(N268="","",N268*(1+$B$3)))</f>
      </c>
    </row>
    <row r="269" spans="1:20" x14ac:dyDescent="0.25">
      <c r="A269" s="5" t="s">
        <v>524</v>
      </c>
      <c r="B269" s="5" t="s">
        <v>539</v>
      </c>
      <c r="C269" s="5" t="s">
        <v>540</v>
      </c>
      <c r="D269" s="5" t="s">
        <v>155</v>
      </c>
      <c r="E269" s="8"/>
      <c r="F269" s="8"/>
      <c r="G269" s="8"/>
      <c r="H269" s="9">
        <v>19.03</v>
      </c>
      <c r="I269" s="9">
        <v>19.03</v>
      </c>
      <c r="J269" s="8"/>
      <c r="K269" s="10">
        <f>IF(COUNT(E269:J269)=0,"",MIN(E269:J269))</f>
      </c>
      <c r="L269" s="10">
        <f>IF(COUNT(E269:J269)=0,"",MAX(E269:J269))</f>
      </c>
      <c r="M269" s="5">
        <f>COUNT(E269:J269)</f>
      </c>
      <c r="N269" s="11">
        <f>IF(COUNT(E269:J269)=0,"",MEDIAN(E269:J269))</f>
      </c>
      <c r="O269" s="8"/>
      <c r="P269" s="12">
        <f>IF(OR(O269="",N269=""),"",1-O269/N269)</f>
      </c>
      <c r="Q269" s="5" t="s">
        <v>2</v>
      </c>
      <c r="R269" s="13"/>
      <c r="S269" s="6"/>
      <c r="T269" s="11">
        <f>IF(R269&lt;&gt;"",R269/(1-IF(S269&lt;&gt;"",S269,$E$3)),IF(N269="","",N269*(1+$B$3)))</f>
      </c>
    </row>
    <row r="270" spans="1:20" x14ac:dyDescent="0.25">
      <c r="A270" s="14" t="s">
        <v>541</v>
      </c>
      <c r="B270" s="14" t="s">
        <v>542</v>
      </c>
      <c r="C270" s="14" t="s">
        <v>543</v>
      </c>
      <c r="D270" s="14" t="s">
        <v>2</v>
      </c>
      <c r="E270" s="18"/>
      <c r="F270" s="18"/>
      <c r="G270" s="18"/>
      <c r="H270" s="15">
        <v>1286</v>
      </c>
      <c r="I270" s="18"/>
      <c r="J270" s="18"/>
      <c r="K270" s="16">
        <f>IF(COUNT(E270:J270)=0,"",MIN(E270:J270))</f>
      </c>
      <c r="L270" s="16">
        <f>IF(COUNT(E270:J270)=0,"",MAX(E270:J270))</f>
      </c>
      <c r="M270" s="14">
        <f>COUNT(E270:J270)</f>
      </c>
      <c r="N270" s="17">
        <f>IF(COUNT(E270:J270)=0,"",MEDIAN(E270:J270))</f>
      </c>
      <c r="O270" s="18"/>
      <c r="P270" s="19">
        <f>IF(OR(O270="",N270=""),"",1-O270/N270)</f>
      </c>
      <c r="Q270" s="14" t="s">
        <v>2</v>
      </c>
      <c r="R270" s="13"/>
      <c r="S270" s="6"/>
      <c r="T270" s="11">
        <f>IF(R270&lt;&gt;"",R270/(1-IF(S270&lt;&gt;"",S270,$E$3)),IF(N270="","",N270*(1+$B$3)))</f>
      </c>
    </row>
    <row r="271" spans="1:20" x14ac:dyDescent="0.25">
      <c r="A271" s="14" t="s">
        <v>541</v>
      </c>
      <c r="B271" s="14" t="s">
        <v>544</v>
      </c>
      <c r="C271" s="14" t="s">
        <v>545</v>
      </c>
      <c r="D271" s="14" t="s">
        <v>85</v>
      </c>
      <c r="E271" s="15">
        <v>548</v>
      </c>
      <c r="F271" s="18"/>
      <c r="G271" s="18"/>
      <c r="H271" s="15">
        <v>548</v>
      </c>
      <c r="I271" s="18"/>
      <c r="J271" s="18"/>
      <c r="K271" s="16">
        <f>IF(COUNT(E271:J271)=0,"",MIN(E271:J271))</f>
      </c>
      <c r="L271" s="16">
        <f>IF(COUNT(E271:J271)=0,"",MAX(E271:J271))</f>
      </c>
      <c r="M271" s="14">
        <f>COUNT(E271:J271)</f>
      </c>
      <c r="N271" s="17">
        <f>IF(COUNT(E271:J271)=0,"",MEDIAN(E271:J271))</f>
      </c>
      <c r="O271" s="18"/>
      <c r="P271" s="19">
        <f>IF(OR(O271="",N271=""),"",1-O271/N271)</f>
      </c>
      <c r="Q271" s="14" t="s">
        <v>2</v>
      </c>
      <c r="R271" s="13"/>
      <c r="S271" s="6"/>
      <c r="T271" s="11">
        <f>IF(R271&lt;&gt;"",R271/(1-IF(S271&lt;&gt;"",S271,$E$3)),IF(N271="","",N271*(1+$B$3)))</f>
      </c>
    </row>
    <row r="272" spans="1:20" x14ac:dyDescent="0.25">
      <c r="A272" s="14" t="s">
        <v>541</v>
      </c>
      <c r="B272" s="14" t="s">
        <v>546</v>
      </c>
      <c r="C272" s="14" t="s">
        <v>547</v>
      </c>
      <c r="D272" s="14" t="s">
        <v>85</v>
      </c>
      <c r="E272" s="18"/>
      <c r="F272" s="18"/>
      <c r="G272" s="15">
        <v>144.07</v>
      </c>
      <c r="H272" s="18"/>
      <c r="I272" s="18"/>
      <c r="J272" s="18"/>
      <c r="K272" s="16">
        <f>IF(COUNT(E272:J272)=0,"",MIN(E272:J272))</f>
      </c>
      <c r="L272" s="16">
        <f>IF(COUNT(E272:J272)=0,"",MAX(E272:J272))</f>
      </c>
      <c r="M272" s="14">
        <f>COUNT(E272:J272)</f>
      </c>
      <c r="N272" s="17">
        <f>IF(COUNT(E272:J272)=0,"",MEDIAN(E272:J272))</f>
      </c>
      <c r="O272" s="18"/>
      <c r="P272" s="19">
        <f>IF(OR(O272="",N272=""),"",1-O272/N272)</f>
      </c>
      <c r="Q272" s="14" t="s">
        <v>2</v>
      </c>
      <c r="R272" s="13"/>
      <c r="S272" s="6"/>
      <c r="T272" s="11">
        <f>IF(R272&lt;&gt;"",R272/(1-IF(S272&lt;&gt;"",S272,$E$3)),IF(N272="","",N272*(1+$B$3)))</f>
      </c>
    </row>
    <row r="273" spans="1:20" x14ac:dyDescent="0.25">
      <c r="A273" s="14" t="s">
        <v>541</v>
      </c>
      <c r="B273" s="14" t="s">
        <v>548</v>
      </c>
      <c r="C273" s="14" t="s">
        <v>549</v>
      </c>
      <c r="D273" s="14" t="s">
        <v>85</v>
      </c>
      <c r="E273" s="15">
        <v>300</v>
      </c>
      <c r="F273" s="18"/>
      <c r="G273" s="18"/>
      <c r="H273" s="15">
        <v>300</v>
      </c>
      <c r="I273" s="18"/>
      <c r="J273" s="18"/>
      <c r="K273" s="16">
        <f>IF(COUNT(E273:J273)=0,"",MIN(E273:J273))</f>
      </c>
      <c r="L273" s="16">
        <f>IF(COUNT(E273:J273)=0,"",MAX(E273:J273))</f>
      </c>
      <c r="M273" s="14">
        <f>COUNT(E273:J273)</f>
      </c>
      <c r="N273" s="17">
        <f>IF(COUNT(E273:J273)=0,"",MEDIAN(E273:J273))</f>
      </c>
      <c r="O273" s="18"/>
      <c r="P273" s="19">
        <f>IF(OR(O273="",N273=""),"",1-O273/N273)</f>
      </c>
      <c r="Q273" s="14" t="s">
        <v>2</v>
      </c>
      <c r="R273" s="13"/>
      <c r="S273" s="6"/>
      <c r="T273" s="11">
        <f>IF(R273&lt;&gt;"",R273/(1-IF(S273&lt;&gt;"",S273,$E$3)),IF(N273="","",N273*(1+$B$3)))</f>
      </c>
    </row>
    <row r="274" spans="1:20" x14ac:dyDescent="0.25">
      <c r="A274" s="14" t="s">
        <v>541</v>
      </c>
      <c r="B274" s="14" t="s">
        <v>550</v>
      </c>
      <c r="C274" s="14" t="s">
        <v>551</v>
      </c>
      <c r="D274" s="14" t="s">
        <v>85</v>
      </c>
      <c r="E274" s="18"/>
      <c r="F274" s="15">
        <v>580</v>
      </c>
      <c r="G274" s="15">
        <v>580</v>
      </c>
      <c r="H274" s="18"/>
      <c r="I274" s="18"/>
      <c r="J274" s="18"/>
      <c r="K274" s="16">
        <f>IF(COUNT(E274:J274)=0,"",MIN(E274:J274))</f>
      </c>
      <c r="L274" s="16">
        <f>IF(COUNT(E274:J274)=0,"",MAX(E274:J274))</f>
      </c>
      <c r="M274" s="14">
        <f>COUNT(E274:J274)</f>
      </c>
      <c r="N274" s="17">
        <f>IF(COUNT(E274:J274)=0,"",MEDIAN(E274:J274))</f>
      </c>
      <c r="O274" s="18"/>
      <c r="P274" s="19">
        <f>IF(OR(O274="",N274=""),"",1-O274/N274)</f>
      </c>
      <c r="Q274" s="14" t="s">
        <v>2</v>
      </c>
      <c r="R274" s="13"/>
      <c r="S274" s="6"/>
      <c r="T274" s="11">
        <f>IF(R274&lt;&gt;"",R274/(1-IF(S274&lt;&gt;"",S274,$E$3)),IF(N274="","",N274*(1+$B$3)))</f>
      </c>
    </row>
    <row r="275" spans="1:20" x14ac:dyDescent="0.25">
      <c r="A275" s="14" t="s">
        <v>541</v>
      </c>
      <c r="B275" s="14" t="s">
        <v>552</v>
      </c>
      <c r="C275" s="14" t="s">
        <v>553</v>
      </c>
      <c r="D275" s="14" t="s">
        <v>85</v>
      </c>
      <c r="E275" s="15">
        <v>561.56</v>
      </c>
      <c r="F275" s="18"/>
      <c r="G275" s="18"/>
      <c r="H275" s="15">
        <v>561.56</v>
      </c>
      <c r="I275" s="15">
        <v>561.56</v>
      </c>
      <c r="J275" s="18"/>
      <c r="K275" s="16">
        <f>IF(COUNT(E275:J275)=0,"",MIN(E275:J275))</f>
      </c>
      <c r="L275" s="16">
        <f>IF(COUNT(E275:J275)=0,"",MAX(E275:J275))</f>
      </c>
      <c r="M275" s="14">
        <f>COUNT(E275:J275)</f>
      </c>
      <c r="N275" s="17">
        <f>IF(COUNT(E275:J275)=0,"",MEDIAN(E275:J275))</f>
      </c>
      <c r="O275" s="18"/>
      <c r="P275" s="19">
        <f>IF(OR(O275="",N275=""),"",1-O275/N275)</f>
      </c>
      <c r="Q275" s="14" t="s">
        <v>2</v>
      </c>
      <c r="R275" s="13"/>
      <c r="S275" s="6"/>
      <c r="T275" s="11">
        <f>IF(R275&lt;&gt;"",R275/(1-IF(S275&lt;&gt;"",S275,$E$3)),IF(N275="","",N275*(1+$B$3)))</f>
      </c>
    </row>
    <row r="276" spans="1:20" x14ac:dyDescent="0.25">
      <c r="A276" s="14" t="s">
        <v>541</v>
      </c>
      <c r="B276" s="14" t="s">
        <v>554</v>
      </c>
      <c r="C276" s="14" t="s">
        <v>555</v>
      </c>
      <c r="D276" s="14" t="s">
        <v>85</v>
      </c>
      <c r="E276" s="15">
        <v>621.95</v>
      </c>
      <c r="F276" s="18"/>
      <c r="G276" s="18"/>
      <c r="H276" s="15">
        <v>621.95</v>
      </c>
      <c r="I276" s="18"/>
      <c r="J276" s="18"/>
      <c r="K276" s="16">
        <f>IF(COUNT(E276:J276)=0,"",MIN(E276:J276))</f>
      </c>
      <c r="L276" s="16">
        <f>IF(COUNT(E276:J276)=0,"",MAX(E276:J276))</f>
      </c>
      <c r="M276" s="14">
        <f>COUNT(E276:J276)</f>
      </c>
      <c r="N276" s="17">
        <f>IF(COUNT(E276:J276)=0,"",MEDIAN(E276:J276))</f>
      </c>
      <c r="O276" s="18"/>
      <c r="P276" s="19">
        <f>IF(OR(O276="",N276=""),"",1-O276/N276)</f>
      </c>
      <c r="Q276" s="14" t="s">
        <v>2</v>
      </c>
      <c r="R276" s="13"/>
      <c r="S276" s="6"/>
      <c r="T276" s="11">
        <f>IF(R276&lt;&gt;"",R276/(1-IF(S276&lt;&gt;"",S276,$E$3)),IF(N276="","",N276*(1+$B$3)))</f>
      </c>
    </row>
    <row r="277" spans="1:20" x14ac:dyDescent="0.25">
      <c r="A277" s="14" t="s">
        <v>541</v>
      </c>
      <c r="B277" s="14" t="s">
        <v>556</v>
      </c>
      <c r="C277" s="14" t="s">
        <v>557</v>
      </c>
      <c r="D277" s="14" t="s">
        <v>85</v>
      </c>
      <c r="E277" s="15">
        <v>159.5</v>
      </c>
      <c r="F277" s="15">
        <v>159.5</v>
      </c>
      <c r="G277" s="15">
        <v>159.5</v>
      </c>
      <c r="H277" s="15">
        <v>159.5</v>
      </c>
      <c r="I277" s="15">
        <v>159.5</v>
      </c>
      <c r="J277" s="15">
        <v>159.5</v>
      </c>
      <c r="K277" s="16">
        <f>IF(COUNT(E277:J277)=0,"",MIN(E277:J277))</f>
      </c>
      <c r="L277" s="16">
        <f>IF(COUNT(E277:J277)=0,"",MAX(E277:J277))</f>
      </c>
      <c r="M277" s="14">
        <f>COUNT(E277:J277)</f>
      </c>
      <c r="N277" s="17">
        <f>IF(COUNT(E277:J277)=0,"",MEDIAN(E277:J277))</f>
      </c>
      <c r="O277" s="18"/>
      <c r="P277" s="19">
        <f>IF(OR(O277="",N277=""),"",1-O277/N277)</f>
      </c>
      <c r="Q277" s="14" t="s">
        <v>2</v>
      </c>
      <c r="R277" s="13"/>
      <c r="S277" s="6"/>
      <c r="T277" s="11">
        <f>IF(R277&lt;&gt;"",R277/(1-IF(S277&lt;&gt;"",S277,$E$3)),IF(N277="","",N277*(1+$B$3)))</f>
      </c>
    </row>
    <row r="278" spans="1:20" x14ac:dyDescent="0.25">
      <c r="A278" s="14" t="s">
        <v>541</v>
      </c>
      <c r="B278" s="14" t="s">
        <v>558</v>
      </c>
      <c r="C278" s="14" t="s">
        <v>559</v>
      </c>
      <c r="D278" s="14" t="s">
        <v>85</v>
      </c>
      <c r="E278" s="18"/>
      <c r="F278" s="18"/>
      <c r="G278" s="18"/>
      <c r="H278" s="15">
        <v>230</v>
      </c>
      <c r="I278" s="18"/>
      <c r="J278" s="15">
        <v>230</v>
      </c>
      <c r="K278" s="16">
        <f>IF(COUNT(E278:J278)=0,"",MIN(E278:J278))</f>
      </c>
      <c r="L278" s="16">
        <f>IF(COUNT(E278:J278)=0,"",MAX(E278:J278))</f>
      </c>
      <c r="M278" s="14">
        <f>COUNT(E278:J278)</f>
      </c>
      <c r="N278" s="17">
        <f>IF(COUNT(E278:J278)=0,"",MEDIAN(E278:J278))</f>
      </c>
      <c r="O278" s="18"/>
      <c r="P278" s="19">
        <f>IF(OR(O278="",N278=""),"",1-O278/N278)</f>
      </c>
      <c r="Q278" s="14" t="s">
        <v>2</v>
      </c>
      <c r="R278" s="13"/>
      <c r="S278" s="6"/>
      <c r="T278" s="11">
        <f>IF(R278&lt;&gt;"",R278/(1-IF(S278&lt;&gt;"",S278,$E$3)),IF(N278="","",N278*(1+$B$3)))</f>
      </c>
    </row>
    <row r="279" spans="1:20" x14ac:dyDescent="0.25">
      <c r="A279" s="14" t="s">
        <v>541</v>
      </c>
      <c r="B279" s="14" t="s">
        <v>560</v>
      </c>
      <c r="C279" s="14" t="s">
        <v>561</v>
      </c>
      <c r="D279" s="14" t="s">
        <v>85</v>
      </c>
      <c r="E279" s="15">
        <v>57.6</v>
      </c>
      <c r="F279" s="15">
        <v>57.6</v>
      </c>
      <c r="G279" s="15">
        <v>57.6</v>
      </c>
      <c r="H279" s="15">
        <v>57.6</v>
      </c>
      <c r="I279" s="18"/>
      <c r="J279" s="15">
        <v>57.6</v>
      </c>
      <c r="K279" s="16">
        <f>IF(COUNT(E279:J279)=0,"",MIN(E279:J279))</f>
      </c>
      <c r="L279" s="16">
        <f>IF(COUNT(E279:J279)=0,"",MAX(E279:J279))</f>
      </c>
      <c r="M279" s="14">
        <f>COUNT(E279:J279)</f>
      </c>
      <c r="N279" s="17">
        <f>IF(COUNT(E279:J279)=0,"",MEDIAN(E279:J279))</f>
      </c>
      <c r="O279" s="18"/>
      <c r="P279" s="19">
        <f>IF(OR(O279="",N279=""),"",1-O279/N279)</f>
      </c>
      <c r="Q279" s="14" t="s">
        <v>2</v>
      </c>
      <c r="R279" s="13"/>
      <c r="S279" s="6"/>
      <c r="T279" s="11">
        <f>IF(R279&lt;&gt;"",R279/(1-IF(S279&lt;&gt;"",S279,$E$3)),IF(N279="","",N279*(1+$B$3)))</f>
      </c>
    </row>
    <row r="280" spans="1:20" x14ac:dyDescent="0.25">
      <c r="A280" s="14" t="s">
        <v>541</v>
      </c>
      <c r="B280" s="14" t="s">
        <v>562</v>
      </c>
      <c r="C280" s="14" t="s">
        <v>563</v>
      </c>
      <c r="D280" s="14" t="s">
        <v>85</v>
      </c>
      <c r="E280" s="15">
        <v>50</v>
      </c>
      <c r="F280" s="15">
        <v>50</v>
      </c>
      <c r="G280" s="15">
        <v>50</v>
      </c>
      <c r="H280" s="15">
        <v>50</v>
      </c>
      <c r="I280" s="15">
        <v>50</v>
      </c>
      <c r="J280" s="15">
        <v>50</v>
      </c>
      <c r="K280" s="16">
        <f>IF(COUNT(E280:J280)=0,"",MIN(E280:J280))</f>
      </c>
      <c r="L280" s="16">
        <f>IF(COUNT(E280:J280)=0,"",MAX(E280:J280))</f>
      </c>
      <c r="M280" s="14">
        <f>COUNT(E280:J280)</f>
      </c>
      <c r="N280" s="17">
        <f>IF(COUNT(E280:J280)=0,"",MEDIAN(E280:J280))</f>
      </c>
      <c r="O280" s="18"/>
      <c r="P280" s="19">
        <f>IF(OR(O280="",N280=""),"",1-O280/N280)</f>
      </c>
      <c r="Q280" s="14" t="s">
        <v>2</v>
      </c>
      <c r="R280" s="13"/>
      <c r="S280" s="6"/>
      <c r="T280" s="11">
        <f>IF(R280&lt;&gt;"",R280/(1-IF(S280&lt;&gt;"",S280,$E$3)),IF(N280="","",N280*(1+$B$3)))</f>
      </c>
    </row>
    <row r="281" spans="1:20" x14ac:dyDescent="0.25">
      <c r="A281" s="14" t="s">
        <v>541</v>
      </c>
      <c r="B281" s="14" t="s">
        <v>564</v>
      </c>
      <c r="C281" s="14" t="s">
        <v>565</v>
      </c>
      <c r="D281" s="14" t="s">
        <v>85</v>
      </c>
      <c r="E281" s="15">
        <v>811.21</v>
      </c>
      <c r="F281" s="15">
        <v>811.21</v>
      </c>
      <c r="G281" s="15">
        <v>811.21</v>
      </c>
      <c r="H281" s="15">
        <v>811.21</v>
      </c>
      <c r="I281" s="18"/>
      <c r="J281" s="15">
        <v>811.21</v>
      </c>
      <c r="K281" s="16">
        <f>IF(COUNT(E281:J281)=0,"",MIN(E281:J281))</f>
      </c>
      <c r="L281" s="16">
        <f>IF(COUNT(E281:J281)=0,"",MAX(E281:J281))</f>
      </c>
      <c r="M281" s="14">
        <f>COUNT(E281:J281)</f>
      </c>
      <c r="N281" s="17">
        <f>IF(COUNT(E281:J281)=0,"",MEDIAN(E281:J281))</f>
      </c>
      <c r="O281" s="18"/>
      <c r="P281" s="19">
        <f>IF(OR(O281="",N281=""),"",1-O281/N281)</f>
      </c>
      <c r="Q281" s="14" t="s">
        <v>2</v>
      </c>
      <c r="R281" s="13"/>
      <c r="S281" s="6"/>
      <c r="T281" s="11">
        <f>IF(R281&lt;&gt;"",R281/(1-IF(S281&lt;&gt;"",S281,$E$3)),IF(N281="","",N281*(1+$B$3)))</f>
      </c>
    </row>
    <row r="282" spans="1:20" x14ac:dyDescent="0.25">
      <c r="A282" s="14" t="s">
        <v>541</v>
      </c>
      <c r="B282" s="14" t="s">
        <v>566</v>
      </c>
      <c r="C282" s="14" t="s">
        <v>567</v>
      </c>
      <c r="D282" s="14" t="s">
        <v>85</v>
      </c>
      <c r="E282" s="15">
        <v>494</v>
      </c>
      <c r="F282" s="15">
        <v>494</v>
      </c>
      <c r="G282" s="15">
        <v>494</v>
      </c>
      <c r="H282" s="18"/>
      <c r="I282" s="18"/>
      <c r="J282" s="18"/>
      <c r="K282" s="16">
        <f>IF(COUNT(E282:J282)=0,"",MIN(E282:J282))</f>
      </c>
      <c r="L282" s="16">
        <f>IF(COUNT(E282:J282)=0,"",MAX(E282:J282))</f>
      </c>
      <c r="M282" s="14">
        <f>COUNT(E282:J282)</f>
      </c>
      <c r="N282" s="17">
        <f>IF(COUNT(E282:J282)=0,"",MEDIAN(E282:J282))</f>
      </c>
      <c r="O282" s="18"/>
      <c r="P282" s="19">
        <f>IF(OR(O282="",N282=""),"",1-O282/N282)</f>
      </c>
      <c r="Q282" s="14" t="s">
        <v>2</v>
      </c>
      <c r="R282" s="13"/>
      <c r="S282" s="6"/>
      <c r="T282" s="11">
        <f>IF(R282&lt;&gt;"",R282/(1-IF(S282&lt;&gt;"",S282,$E$3)),IF(N282="","",N282*(1+$B$3)))</f>
      </c>
    </row>
    <row r="283" spans="1:20" x14ac:dyDescent="0.25">
      <c r="A283" s="14" t="s">
        <v>541</v>
      </c>
      <c r="B283" s="14" t="s">
        <v>566</v>
      </c>
      <c r="C283" s="14" t="s">
        <v>568</v>
      </c>
      <c r="D283" s="14" t="s">
        <v>85</v>
      </c>
      <c r="E283" s="18"/>
      <c r="F283" s="18"/>
      <c r="G283" s="18"/>
      <c r="H283" s="18"/>
      <c r="I283" s="15">
        <v>494</v>
      </c>
      <c r="J283" s="18"/>
      <c r="K283" s="16">
        <f>IF(COUNT(E283:J283)=0,"",MIN(E283:J283))</f>
      </c>
      <c r="L283" s="16">
        <f>IF(COUNT(E283:J283)=0,"",MAX(E283:J283))</f>
      </c>
      <c r="M283" s="14">
        <f>COUNT(E283:J283)</f>
      </c>
      <c r="N283" s="17">
        <f>IF(COUNT(E283:J283)=0,"",MEDIAN(E283:J283))</f>
      </c>
      <c r="O283" s="18"/>
      <c r="P283" s="19">
        <f>IF(OR(O283="",N283=""),"",1-O283/N283)</f>
      </c>
      <c r="Q283" s="14" t="s">
        <v>2</v>
      </c>
      <c r="R283" s="13"/>
      <c r="S283" s="6"/>
      <c r="T283" s="11">
        <f>IF(R283&lt;&gt;"",R283/(1-IF(S283&lt;&gt;"",S283,$E$3)),IF(N283="","",N283*(1+$B$3)))</f>
      </c>
    </row>
    <row r="284" spans="1:20" x14ac:dyDescent="0.25">
      <c r="A284" s="14" t="s">
        <v>541</v>
      </c>
      <c r="B284" s="14" t="s">
        <v>569</v>
      </c>
      <c r="C284" s="14" t="s">
        <v>568</v>
      </c>
      <c r="D284" s="14" t="s">
        <v>85</v>
      </c>
      <c r="E284" s="18"/>
      <c r="F284" s="18"/>
      <c r="G284" s="18"/>
      <c r="H284" s="15">
        <v>394</v>
      </c>
      <c r="I284" s="18"/>
      <c r="J284" s="18"/>
      <c r="K284" s="16">
        <f>IF(COUNT(E284:J284)=0,"",MIN(E284:J284))</f>
      </c>
      <c r="L284" s="16">
        <f>IF(COUNT(E284:J284)=0,"",MAX(E284:J284))</f>
      </c>
      <c r="M284" s="14">
        <f>COUNT(E284:J284)</f>
      </c>
      <c r="N284" s="17">
        <f>IF(COUNT(E284:J284)=0,"",MEDIAN(E284:J284))</f>
      </c>
      <c r="O284" s="18"/>
      <c r="P284" s="19">
        <f>IF(OR(O284="",N284=""),"",1-O284/N284)</f>
      </c>
      <c r="Q284" s="14" t="s">
        <v>2</v>
      </c>
      <c r="R284" s="13"/>
      <c r="S284" s="6"/>
      <c r="T284" s="11">
        <f>IF(R284&lt;&gt;"",R284/(1-IF(S284&lt;&gt;"",S284,$E$3)),IF(N284="","",N284*(1+$B$3)))</f>
      </c>
    </row>
    <row r="285" spans="1:20" x14ac:dyDescent="0.25">
      <c r="A285" s="14" t="s">
        <v>541</v>
      </c>
      <c r="B285" s="14" t="s">
        <v>570</v>
      </c>
      <c r="C285" s="14" t="s">
        <v>568</v>
      </c>
      <c r="D285" s="14" t="s">
        <v>85</v>
      </c>
      <c r="E285" s="18"/>
      <c r="F285" s="18"/>
      <c r="G285" s="18"/>
      <c r="H285" s="15">
        <v>494</v>
      </c>
      <c r="I285" s="18"/>
      <c r="J285" s="18"/>
      <c r="K285" s="16">
        <f>IF(COUNT(E285:J285)=0,"",MIN(E285:J285))</f>
      </c>
      <c r="L285" s="16">
        <f>IF(COUNT(E285:J285)=0,"",MAX(E285:J285))</f>
      </c>
      <c r="M285" s="14">
        <f>COUNT(E285:J285)</f>
      </c>
      <c r="N285" s="17">
        <f>IF(COUNT(E285:J285)=0,"",MEDIAN(E285:J285))</f>
      </c>
      <c r="O285" s="18"/>
      <c r="P285" s="19">
        <f>IF(OR(O285="",N285=""),"",1-O285/N285)</f>
      </c>
      <c r="Q285" s="14" t="s">
        <v>2</v>
      </c>
      <c r="R285" s="13"/>
      <c r="S285" s="6"/>
      <c r="T285" s="11">
        <f>IF(R285&lt;&gt;"",R285/(1-IF(S285&lt;&gt;"",S285,$E$3)),IF(N285="","",N285*(1+$B$3)))</f>
      </c>
    </row>
    <row r="286" spans="1:20" x14ac:dyDescent="0.25">
      <c r="A286" s="14" t="s">
        <v>541</v>
      </c>
      <c r="B286" s="14" t="s">
        <v>570</v>
      </c>
      <c r="C286" s="14" t="s">
        <v>567</v>
      </c>
      <c r="D286" s="14" t="s">
        <v>85</v>
      </c>
      <c r="E286" s="18"/>
      <c r="F286" s="18"/>
      <c r="G286" s="18"/>
      <c r="H286" s="18"/>
      <c r="I286" s="18"/>
      <c r="J286" s="15">
        <v>494</v>
      </c>
      <c r="K286" s="16">
        <f>IF(COUNT(E286:J286)=0,"",MIN(E286:J286))</f>
      </c>
      <c r="L286" s="16">
        <f>IF(COUNT(E286:J286)=0,"",MAX(E286:J286))</f>
      </c>
      <c r="M286" s="14">
        <f>COUNT(E286:J286)</f>
      </c>
      <c r="N286" s="17">
        <f>IF(COUNT(E286:J286)=0,"",MEDIAN(E286:J286))</f>
      </c>
      <c r="O286" s="18"/>
      <c r="P286" s="19">
        <f>IF(OR(O286="",N286=""),"",1-O286/N286)</f>
      </c>
      <c r="Q286" s="14" t="s">
        <v>2</v>
      </c>
      <c r="R286" s="13"/>
      <c r="S286" s="6"/>
      <c r="T286" s="11">
        <f>IF(R286&lt;&gt;"",R286/(1-IF(S286&lt;&gt;"",S286,$E$3)),IF(N286="","",N286*(1+$B$3)))</f>
      </c>
    </row>
    <row r="287" spans="1:20" x14ac:dyDescent="0.25">
      <c r="A287" s="14" t="s">
        <v>541</v>
      </c>
      <c r="B287" s="14" t="s">
        <v>571</v>
      </c>
      <c r="C287" s="14" t="s">
        <v>572</v>
      </c>
      <c r="D287" s="14" t="s">
        <v>85</v>
      </c>
      <c r="E287" s="15">
        <v>96.38</v>
      </c>
      <c r="F287" s="15">
        <v>96.38</v>
      </c>
      <c r="G287" s="15">
        <v>96.38</v>
      </c>
      <c r="H287" s="15">
        <v>96.38</v>
      </c>
      <c r="I287" s="18"/>
      <c r="J287" s="15">
        <v>96.38</v>
      </c>
      <c r="K287" s="16">
        <f>IF(COUNT(E287:J287)=0,"",MIN(E287:J287))</f>
      </c>
      <c r="L287" s="16">
        <f>IF(COUNT(E287:J287)=0,"",MAX(E287:J287))</f>
      </c>
      <c r="M287" s="14">
        <f>COUNT(E287:J287)</f>
      </c>
      <c r="N287" s="17">
        <f>IF(COUNT(E287:J287)=0,"",MEDIAN(E287:J287))</f>
      </c>
      <c r="O287" s="18"/>
      <c r="P287" s="19">
        <f>IF(OR(O287="",N287=""),"",1-O287/N287)</f>
      </c>
      <c r="Q287" s="14" t="s">
        <v>2</v>
      </c>
      <c r="R287" s="13"/>
      <c r="S287" s="6"/>
      <c r="T287" s="11">
        <f>IF(R287&lt;&gt;"",R287/(1-IF(S287&lt;&gt;"",S287,$E$3)),IF(N287="","",N287*(1+$B$3)))</f>
      </c>
    </row>
    <row r="288" spans="1:20" x14ac:dyDescent="0.25">
      <c r="A288" s="14" t="s">
        <v>541</v>
      </c>
      <c r="B288" s="14" t="s">
        <v>573</v>
      </c>
      <c r="C288" s="14" t="s">
        <v>574</v>
      </c>
      <c r="D288" s="14" t="s">
        <v>85</v>
      </c>
      <c r="E288" s="15">
        <v>500</v>
      </c>
      <c r="F288" s="18"/>
      <c r="G288" s="18"/>
      <c r="H288" s="18"/>
      <c r="I288" s="18"/>
      <c r="J288" s="18"/>
      <c r="K288" s="16">
        <f>IF(COUNT(E288:J288)=0,"",MIN(E288:J288))</f>
      </c>
      <c r="L288" s="16">
        <f>IF(COUNT(E288:J288)=0,"",MAX(E288:J288))</f>
      </c>
      <c r="M288" s="14">
        <f>COUNT(E288:J288)</f>
      </c>
      <c r="N288" s="17">
        <f>IF(COUNT(E288:J288)=0,"",MEDIAN(E288:J288))</f>
      </c>
      <c r="O288" s="18"/>
      <c r="P288" s="19">
        <f>IF(OR(O288="",N288=""),"",1-O288/N288)</f>
      </c>
      <c r="Q288" s="14" t="s">
        <v>2</v>
      </c>
      <c r="R288" s="13"/>
      <c r="S288" s="6"/>
      <c r="T288" s="11">
        <f>IF(R288&lt;&gt;"",R288/(1-IF(S288&lt;&gt;"",S288,$E$3)),IF(N288="","",N288*(1+$B$3)))</f>
      </c>
    </row>
    <row r="289" spans="1:20" x14ac:dyDescent="0.25">
      <c r="A289" s="14" t="s">
        <v>541</v>
      </c>
      <c r="B289" s="14" t="s">
        <v>573</v>
      </c>
      <c r="C289" s="14" t="s">
        <v>575</v>
      </c>
      <c r="D289" s="14" t="s">
        <v>85</v>
      </c>
      <c r="E289" s="18"/>
      <c r="F289" s="18"/>
      <c r="G289" s="18"/>
      <c r="H289" s="18"/>
      <c r="I289" s="18"/>
      <c r="J289" s="15">
        <v>400</v>
      </c>
      <c r="K289" s="16">
        <f>IF(COUNT(E289:J289)=0,"",MIN(E289:J289))</f>
      </c>
      <c r="L289" s="16">
        <f>IF(COUNT(E289:J289)=0,"",MAX(E289:J289))</f>
      </c>
      <c r="M289" s="14">
        <f>COUNT(E289:J289)</f>
      </c>
      <c r="N289" s="17">
        <f>IF(COUNT(E289:J289)=0,"",MEDIAN(E289:J289))</f>
      </c>
      <c r="O289" s="18"/>
      <c r="P289" s="19">
        <f>IF(OR(O289="",N289=""),"",1-O289/N289)</f>
      </c>
      <c r="Q289" s="14" t="s">
        <v>2</v>
      </c>
      <c r="R289" s="13"/>
      <c r="S289" s="6"/>
      <c r="T289" s="11">
        <f>IF(R289&lt;&gt;"",R289/(1-IF(S289&lt;&gt;"",S289,$E$3)),IF(N289="","",N289*(1+$B$3)))</f>
      </c>
    </row>
    <row r="290" spans="1:20" x14ac:dyDescent="0.25">
      <c r="A290" s="14" t="s">
        <v>541</v>
      </c>
      <c r="B290" s="14" t="s">
        <v>576</v>
      </c>
      <c r="C290" s="14" t="s">
        <v>577</v>
      </c>
      <c r="D290" s="14" t="s">
        <v>85</v>
      </c>
      <c r="E290" s="18"/>
      <c r="F290" s="18"/>
      <c r="G290" s="15">
        <v>400</v>
      </c>
      <c r="H290" s="18"/>
      <c r="I290" s="18"/>
      <c r="J290" s="18"/>
      <c r="K290" s="16">
        <f>IF(COUNT(E290:J290)=0,"",MIN(E290:J290))</f>
      </c>
      <c r="L290" s="16">
        <f>IF(COUNT(E290:J290)=0,"",MAX(E290:J290))</f>
      </c>
      <c r="M290" s="14">
        <f>COUNT(E290:J290)</f>
      </c>
      <c r="N290" s="17">
        <f>IF(COUNT(E290:J290)=0,"",MEDIAN(E290:J290))</f>
      </c>
      <c r="O290" s="18"/>
      <c r="P290" s="19">
        <f>IF(OR(O290="",N290=""),"",1-O290/N290)</f>
      </c>
      <c r="Q290" s="14" t="s">
        <v>2</v>
      </c>
      <c r="R290" s="13"/>
      <c r="S290" s="6"/>
      <c r="T290" s="11">
        <f>IF(R290&lt;&gt;"",R290/(1-IF(S290&lt;&gt;"",S290,$E$3)),IF(N290="","",N290*(1+$B$3)))</f>
      </c>
    </row>
    <row r="291" spans="1:20" x14ac:dyDescent="0.25">
      <c r="A291" s="14" t="s">
        <v>541</v>
      </c>
      <c r="B291" s="14" t="s">
        <v>578</v>
      </c>
      <c r="C291" s="14" t="s">
        <v>579</v>
      </c>
      <c r="D291" s="14" t="s">
        <v>85</v>
      </c>
      <c r="E291" s="15">
        <v>500</v>
      </c>
      <c r="F291" s="18"/>
      <c r="G291" s="18"/>
      <c r="H291" s="18"/>
      <c r="I291" s="18"/>
      <c r="J291" s="18"/>
      <c r="K291" s="16">
        <f>IF(COUNT(E291:J291)=0,"",MIN(E291:J291))</f>
      </c>
      <c r="L291" s="16">
        <f>IF(COUNT(E291:J291)=0,"",MAX(E291:J291))</f>
      </c>
      <c r="M291" s="14">
        <f>COUNT(E291:J291)</f>
      </c>
      <c r="N291" s="17">
        <f>IF(COUNT(E291:J291)=0,"",MEDIAN(E291:J291))</f>
      </c>
      <c r="O291" s="18"/>
      <c r="P291" s="19">
        <f>IF(OR(O291="",N291=""),"",1-O291/N291)</f>
      </c>
      <c r="Q291" s="14" t="s">
        <v>2</v>
      </c>
      <c r="R291" s="13"/>
      <c r="S291" s="6"/>
      <c r="T291" s="11">
        <f>IF(R291&lt;&gt;"",R291/(1-IF(S291&lt;&gt;"",S291,$E$3)),IF(N291="","",N291*(1+$B$3)))</f>
      </c>
    </row>
    <row r="292" spans="1:20" x14ac:dyDescent="0.25">
      <c r="A292" s="14" t="s">
        <v>541</v>
      </c>
      <c r="B292" s="14" t="s">
        <v>578</v>
      </c>
      <c r="C292" s="14" t="s">
        <v>580</v>
      </c>
      <c r="D292" s="14" t="s">
        <v>85</v>
      </c>
      <c r="E292" s="18"/>
      <c r="F292" s="15">
        <v>2605.26</v>
      </c>
      <c r="G292" s="15">
        <v>2605.26</v>
      </c>
      <c r="H292" s="18"/>
      <c r="I292" s="18"/>
      <c r="J292" s="18"/>
      <c r="K292" s="16">
        <f>IF(COUNT(E292:J292)=0,"",MIN(E292:J292))</f>
      </c>
      <c r="L292" s="16">
        <f>IF(COUNT(E292:J292)=0,"",MAX(E292:J292))</f>
      </c>
      <c r="M292" s="14">
        <f>COUNT(E292:J292)</f>
      </c>
      <c r="N292" s="17">
        <f>IF(COUNT(E292:J292)=0,"",MEDIAN(E292:J292))</f>
      </c>
      <c r="O292" s="18"/>
      <c r="P292" s="19">
        <f>IF(OR(O292="",N292=""),"",1-O292/N292)</f>
      </c>
      <c r="Q292" s="14" t="s">
        <v>2</v>
      </c>
      <c r="R292" s="13"/>
      <c r="S292" s="6"/>
      <c r="T292" s="11">
        <f>IF(R292&lt;&gt;"",R292/(1-IF(S292&lt;&gt;"",S292,$E$3)),IF(N292="","",N292*(1+$B$3)))</f>
      </c>
    </row>
    <row r="293" spans="1:20" x14ac:dyDescent="0.25">
      <c r="A293" s="14" t="s">
        <v>541</v>
      </c>
      <c r="B293" s="14" t="s">
        <v>581</v>
      </c>
      <c r="C293" s="14" t="s">
        <v>582</v>
      </c>
      <c r="D293" s="14" t="s">
        <v>85</v>
      </c>
      <c r="E293" s="18"/>
      <c r="F293" s="15">
        <v>1042.2</v>
      </c>
      <c r="G293" s="15">
        <v>1042.2</v>
      </c>
      <c r="H293" s="18"/>
      <c r="I293" s="18"/>
      <c r="J293" s="18"/>
      <c r="K293" s="16">
        <f>IF(COUNT(E293:J293)=0,"",MIN(E293:J293))</f>
      </c>
      <c r="L293" s="16">
        <f>IF(COUNT(E293:J293)=0,"",MAX(E293:J293))</f>
      </c>
      <c r="M293" s="14">
        <f>COUNT(E293:J293)</f>
      </c>
      <c r="N293" s="17">
        <f>IF(COUNT(E293:J293)=0,"",MEDIAN(E293:J293))</f>
      </c>
      <c r="O293" s="18"/>
      <c r="P293" s="19">
        <f>IF(OR(O293="",N293=""),"",1-O293/N293)</f>
      </c>
      <c r="Q293" s="14" t="s">
        <v>2</v>
      </c>
      <c r="R293" s="13"/>
      <c r="S293" s="6"/>
      <c r="T293" s="11">
        <f>IF(R293&lt;&gt;"",R293/(1-IF(S293&lt;&gt;"",S293,$E$3)),IF(N293="","",N293*(1+$B$3)))</f>
      </c>
    </row>
    <row r="294" spans="1:20" x14ac:dyDescent="0.25">
      <c r="A294" s="5" t="s">
        <v>583</v>
      </c>
      <c r="B294" s="5" t="s">
        <v>584</v>
      </c>
      <c r="C294" s="5" t="s">
        <v>585</v>
      </c>
      <c r="D294" s="5" t="s">
        <v>433</v>
      </c>
      <c r="E294" s="8"/>
      <c r="F294" s="9">
        <v>75</v>
      </c>
      <c r="G294" s="9">
        <v>75</v>
      </c>
      <c r="H294" s="8"/>
      <c r="I294" s="8"/>
      <c r="J294" s="8"/>
      <c r="K294" s="10">
        <f>IF(COUNT(E294:J294)=0,"",MIN(E294:J294))</f>
      </c>
      <c r="L294" s="10">
        <f>IF(COUNT(E294:J294)=0,"",MAX(E294:J294))</f>
      </c>
      <c r="M294" s="5">
        <f>COUNT(E294:J294)</f>
      </c>
      <c r="N294" s="11">
        <f>IF(COUNT(E294:J294)=0,"",MEDIAN(E294:J294))</f>
      </c>
      <c r="O294" s="8"/>
      <c r="P294" s="12">
        <f>IF(OR(O294="",N294=""),"",1-O294/N294)</f>
      </c>
      <c r="Q294" s="5" t="s">
        <v>2</v>
      </c>
      <c r="R294" s="13"/>
      <c r="S294" s="6"/>
      <c r="T294" s="11">
        <f>IF(R294&lt;&gt;"",R294/(1-IF(S294&lt;&gt;"",S294,$E$3)),IF(N294="","",N294*(1+$B$3)))</f>
      </c>
    </row>
    <row r="295" spans="1:20" x14ac:dyDescent="0.25">
      <c r="A295" s="5" t="s">
        <v>583</v>
      </c>
      <c r="B295" s="5" t="s">
        <v>586</v>
      </c>
      <c r="C295" s="5" t="s">
        <v>587</v>
      </c>
      <c r="D295" s="5" t="s">
        <v>433</v>
      </c>
      <c r="E295" s="8"/>
      <c r="F295" s="9">
        <v>3984</v>
      </c>
      <c r="G295" s="9">
        <v>3984</v>
      </c>
      <c r="H295" s="8"/>
      <c r="I295" s="8"/>
      <c r="J295" s="8"/>
      <c r="K295" s="10">
        <f>IF(COUNT(E295:J295)=0,"",MIN(E295:J295))</f>
      </c>
      <c r="L295" s="10">
        <f>IF(COUNT(E295:J295)=0,"",MAX(E295:J295))</f>
      </c>
      <c r="M295" s="5">
        <f>COUNT(E295:J295)</f>
      </c>
      <c r="N295" s="11">
        <f>IF(COUNT(E295:J295)=0,"",MEDIAN(E295:J295))</f>
      </c>
      <c r="O295" s="8"/>
      <c r="P295" s="12">
        <f>IF(OR(O295="",N295=""),"",1-O295/N295)</f>
      </c>
      <c r="Q295" s="5" t="s">
        <v>2</v>
      </c>
      <c r="R295" s="13"/>
      <c r="S295" s="6"/>
      <c r="T295" s="11">
        <f>IF(R295&lt;&gt;"",R295/(1-IF(S295&lt;&gt;"",S295,$E$3)),IF(N295="","",N295*(1+$B$3)))</f>
      </c>
    </row>
    <row r="296" spans="1:20" x14ac:dyDescent="0.25">
      <c r="A296" s="5" t="s">
        <v>583</v>
      </c>
      <c r="B296" s="5" t="s">
        <v>588</v>
      </c>
      <c r="C296" s="5" t="s">
        <v>589</v>
      </c>
      <c r="D296" s="5" t="s">
        <v>85</v>
      </c>
      <c r="E296" s="9">
        <v>370</v>
      </c>
      <c r="F296" s="8"/>
      <c r="G296" s="8"/>
      <c r="H296" s="8"/>
      <c r="I296" s="8"/>
      <c r="J296" s="8"/>
      <c r="K296" s="10">
        <f>IF(COUNT(E296:J296)=0,"",MIN(E296:J296))</f>
      </c>
      <c r="L296" s="10">
        <f>IF(COUNT(E296:J296)=0,"",MAX(E296:J296))</f>
      </c>
      <c r="M296" s="5">
        <f>COUNT(E296:J296)</f>
      </c>
      <c r="N296" s="11">
        <f>IF(COUNT(E296:J296)=0,"",MEDIAN(E296:J296))</f>
      </c>
      <c r="O296" s="8"/>
      <c r="P296" s="12">
        <f>IF(OR(O296="",N296=""),"",1-O296/N296)</f>
      </c>
      <c r="Q296" s="5" t="s">
        <v>2</v>
      </c>
      <c r="R296" s="13"/>
      <c r="S296" s="6"/>
      <c r="T296" s="11">
        <f>IF(R296&lt;&gt;"",R296/(1-IF(S296&lt;&gt;"",S296,$E$3)),IF(N296="","",N296*(1+$B$3)))</f>
      </c>
    </row>
    <row r="297" spans="1:20" x14ac:dyDescent="0.25">
      <c r="A297" s="5" t="s">
        <v>583</v>
      </c>
      <c r="B297" s="5" t="s">
        <v>590</v>
      </c>
      <c r="C297" s="5" t="s">
        <v>591</v>
      </c>
      <c r="D297" s="5" t="s">
        <v>85</v>
      </c>
      <c r="E297" s="9">
        <v>299</v>
      </c>
      <c r="F297" s="8"/>
      <c r="G297" s="8"/>
      <c r="H297" s="8"/>
      <c r="I297" s="8"/>
      <c r="J297" s="8"/>
      <c r="K297" s="10">
        <f>IF(COUNT(E297:J297)=0,"",MIN(E297:J297))</f>
      </c>
      <c r="L297" s="10">
        <f>IF(COUNT(E297:J297)=0,"",MAX(E297:J297))</f>
      </c>
      <c r="M297" s="5">
        <f>COUNT(E297:J297)</f>
      </c>
      <c r="N297" s="11">
        <f>IF(COUNT(E297:J297)=0,"",MEDIAN(E297:J297))</f>
      </c>
      <c r="O297" s="8"/>
      <c r="P297" s="12">
        <f>IF(OR(O297="",N297=""),"",1-O297/N297)</f>
      </c>
      <c r="Q297" s="5" t="s">
        <v>2</v>
      </c>
      <c r="R297" s="13"/>
      <c r="S297" s="6"/>
      <c r="T297" s="11">
        <f>IF(R297&lt;&gt;"",R297/(1-IF(S297&lt;&gt;"",S297,$E$3)),IF(N297="","",N297*(1+$B$3)))</f>
      </c>
    </row>
    <row r="298" spans="1:20" x14ac:dyDescent="0.25">
      <c r="A298" s="5" t="s">
        <v>583</v>
      </c>
      <c r="B298" s="5" t="s">
        <v>592</v>
      </c>
      <c r="C298" s="5" t="s">
        <v>593</v>
      </c>
      <c r="D298" s="5" t="s">
        <v>85</v>
      </c>
      <c r="E298" s="9">
        <v>249</v>
      </c>
      <c r="F298" s="8"/>
      <c r="G298" s="8"/>
      <c r="H298" s="8"/>
      <c r="I298" s="8"/>
      <c r="J298" s="8"/>
      <c r="K298" s="10">
        <f>IF(COUNT(E298:J298)=0,"",MIN(E298:J298))</f>
      </c>
      <c r="L298" s="10">
        <f>IF(COUNT(E298:J298)=0,"",MAX(E298:J298))</f>
      </c>
      <c r="M298" s="5">
        <f>COUNT(E298:J298)</f>
      </c>
      <c r="N298" s="11">
        <f>IF(COUNT(E298:J298)=0,"",MEDIAN(E298:J298))</f>
      </c>
      <c r="O298" s="8"/>
      <c r="P298" s="12">
        <f>IF(OR(O298="",N298=""),"",1-O298/N298)</f>
      </c>
      <c r="Q298" s="5" t="s">
        <v>2</v>
      </c>
      <c r="R298" s="13"/>
      <c r="S298" s="6"/>
      <c r="T298" s="11">
        <f>IF(R298&lt;&gt;"",R298/(1-IF(S298&lt;&gt;"",S298,$E$3)),IF(N298="","",N298*(1+$B$3)))</f>
      </c>
    </row>
    <row r="299" spans="1:20" x14ac:dyDescent="0.25">
      <c r="A299" s="5" t="s">
        <v>583</v>
      </c>
      <c r="B299" s="5" t="s">
        <v>594</v>
      </c>
      <c r="C299" s="5" t="s">
        <v>595</v>
      </c>
      <c r="D299" s="5" t="s">
        <v>85</v>
      </c>
      <c r="E299" s="9">
        <v>299</v>
      </c>
      <c r="F299" s="8"/>
      <c r="G299" s="8"/>
      <c r="H299" s="8"/>
      <c r="I299" s="8"/>
      <c r="J299" s="8"/>
      <c r="K299" s="10">
        <f>IF(COUNT(E299:J299)=0,"",MIN(E299:J299))</f>
      </c>
      <c r="L299" s="10">
        <f>IF(COUNT(E299:J299)=0,"",MAX(E299:J299))</f>
      </c>
      <c r="M299" s="5">
        <f>COUNT(E299:J299)</f>
      </c>
      <c r="N299" s="11">
        <f>IF(COUNT(E299:J299)=0,"",MEDIAN(E299:J299))</f>
      </c>
      <c r="O299" s="8"/>
      <c r="P299" s="12">
        <f>IF(OR(O299="",N299=""),"",1-O299/N299)</f>
      </c>
      <c r="Q299" s="5" t="s">
        <v>2</v>
      </c>
      <c r="R299" s="13"/>
      <c r="S299" s="6"/>
      <c r="T299" s="11">
        <f>IF(R299&lt;&gt;"",R299/(1-IF(S299&lt;&gt;"",S299,$E$3)),IF(N299="","",N299*(1+$B$3)))</f>
      </c>
    </row>
    <row r="300" spans="1:20" x14ac:dyDescent="0.25">
      <c r="A300" s="5" t="s">
        <v>583</v>
      </c>
      <c r="B300" s="5" t="s">
        <v>596</v>
      </c>
      <c r="C300" s="5" t="s">
        <v>597</v>
      </c>
      <c r="D300" s="5" t="s">
        <v>85</v>
      </c>
      <c r="E300" s="9">
        <v>399</v>
      </c>
      <c r="F300" s="8"/>
      <c r="G300" s="8"/>
      <c r="H300" s="8"/>
      <c r="I300" s="8"/>
      <c r="J300" s="8"/>
      <c r="K300" s="10">
        <f>IF(COUNT(E300:J300)=0,"",MIN(E300:J300))</f>
      </c>
      <c r="L300" s="10">
        <f>IF(COUNT(E300:J300)=0,"",MAX(E300:J300))</f>
      </c>
      <c r="M300" s="5">
        <f>COUNT(E300:J300)</f>
      </c>
      <c r="N300" s="11">
        <f>IF(COUNT(E300:J300)=0,"",MEDIAN(E300:J300))</f>
      </c>
      <c r="O300" s="8"/>
      <c r="P300" s="12">
        <f>IF(OR(O300="",N300=""),"",1-O300/N300)</f>
      </c>
      <c r="Q300" s="5" t="s">
        <v>2</v>
      </c>
      <c r="R300" s="13"/>
      <c r="S300" s="6"/>
      <c r="T300" s="11">
        <f>IF(R300&lt;&gt;"",R300/(1-IF(S300&lt;&gt;"",S300,$E$3)),IF(N300="","",N300*(1+$B$3)))</f>
      </c>
    </row>
    <row r="301" spans="1:20" x14ac:dyDescent="0.25">
      <c r="A301" s="5" t="s">
        <v>583</v>
      </c>
      <c r="B301" s="5" t="s">
        <v>598</v>
      </c>
      <c r="C301" s="5" t="s">
        <v>599</v>
      </c>
      <c r="D301" s="5" t="s">
        <v>85</v>
      </c>
      <c r="E301" s="9">
        <v>749</v>
      </c>
      <c r="F301" s="8"/>
      <c r="G301" s="8"/>
      <c r="H301" s="8"/>
      <c r="I301" s="8"/>
      <c r="J301" s="8"/>
      <c r="K301" s="10">
        <f>IF(COUNT(E301:J301)=0,"",MIN(E301:J301))</f>
      </c>
      <c r="L301" s="10">
        <f>IF(COUNT(E301:J301)=0,"",MAX(E301:J301))</f>
      </c>
      <c r="M301" s="5">
        <f>COUNT(E301:J301)</f>
      </c>
      <c r="N301" s="11">
        <f>IF(COUNT(E301:J301)=0,"",MEDIAN(E301:J301))</f>
      </c>
      <c r="O301" s="8"/>
      <c r="P301" s="12">
        <f>IF(OR(O301="",N301=""),"",1-O301/N301)</f>
      </c>
      <c r="Q301" s="5" t="s">
        <v>2</v>
      </c>
      <c r="R301" s="13"/>
      <c r="S301" s="6"/>
      <c r="T301" s="11">
        <f>IF(R301&lt;&gt;"",R301/(1-IF(S301&lt;&gt;"",S301,$E$3)),IF(N301="","",N301*(1+$B$3)))</f>
      </c>
    </row>
    <row r="302" spans="1:20" x14ac:dyDescent="0.25">
      <c r="A302" s="5" t="s">
        <v>583</v>
      </c>
      <c r="B302" s="5" t="s">
        <v>600</v>
      </c>
      <c r="C302" s="5" t="s">
        <v>601</v>
      </c>
      <c r="D302" s="5" t="s">
        <v>85</v>
      </c>
      <c r="E302" s="9">
        <v>499</v>
      </c>
      <c r="F302" s="8"/>
      <c r="G302" s="8"/>
      <c r="H302" s="8"/>
      <c r="I302" s="8"/>
      <c r="J302" s="8"/>
      <c r="K302" s="10">
        <f>IF(COUNT(E302:J302)=0,"",MIN(E302:J302))</f>
      </c>
      <c r="L302" s="10">
        <f>IF(COUNT(E302:J302)=0,"",MAX(E302:J302))</f>
      </c>
      <c r="M302" s="5">
        <f>COUNT(E302:J302)</f>
      </c>
      <c r="N302" s="11">
        <f>IF(COUNT(E302:J302)=0,"",MEDIAN(E302:J302))</f>
      </c>
      <c r="O302" s="8"/>
      <c r="P302" s="12">
        <f>IF(OR(O302="",N302=""),"",1-O302/N302)</f>
      </c>
      <c r="Q302" s="5" t="s">
        <v>2</v>
      </c>
      <c r="R302" s="13"/>
      <c r="S302" s="6"/>
      <c r="T302" s="11">
        <f>IF(R302&lt;&gt;"",R302/(1-IF(S302&lt;&gt;"",S302,$E$3)),IF(N302="","",N302*(1+$B$3)))</f>
      </c>
    </row>
    <row r="303" spans="1:20" x14ac:dyDescent="0.25">
      <c r="A303" s="5" t="s">
        <v>583</v>
      </c>
      <c r="B303" s="5" t="s">
        <v>602</v>
      </c>
      <c r="C303" s="5" t="s">
        <v>589</v>
      </c>
      <c r="D303" s="5" t="s">
        <v>85</v>
      </c>
      <c r="E303" s="8"/>
      <c r="F303" s="9">
        <v>370</v>
      </c>
      <c r="G303" s="9">
        <v>370</v>
      </c>
      <c r="H303" s="8"/>
      <c r="I303" s="8"/>
      <c r="J303" s="8"/>
      <c r="K303" s="10">
        <f>IF(COUNT(E303:J303)=0,"",MIN(E303:J303))</f>
      </c>
      <c r="L303" s="10">
        <f>IF(COUNT(E303:J303)=0,"",MAX(E303:J303))</f>
      </c>
      <c r="M303" s="5">
        <f>COUNT(E303:J303)</f>
      </c>
      <c r="N303" s="11">
        <f>IF(COUNT(E303:J303)=0,"",MEDIAN(E303:J303))</f>
      </c>
      <c r="O303" s="8"/>
      <c r="P303" s="12">
        <f>IF(OR(O303="",N303=""),"",1-O303/N303)</f>
      </c>
      <c r="Q303" s="5" t="s">
        <v>2</v>
      </c>
      <c r="R303" s="13"/>
      <c r="S303" s="6"/>
      <c r="T303" s="11">
        <f>IF(R303&lt;&gt;"",R303/(1-IF(S303&lt;&gt;"",S303,$E$3)),IF(N303="","",N303*(1+$B$3)))</f>
      </c>
    </row>
    <row r="304" spans="1:20" x14ac:dyDescent="0.25">
      <c r="A304" s="5" t="s">
        <v>583</v>
      </c>
      <c r="B304" s="5" t="s">
        <v>603</v>
      </c>
      <c r="C304" s="5" t="s">
        <v>604</v>
      </c>
      <c r="D304" s="5" t="s">
        <v>85</v>
      </c>
      <c r="E304" s="8"/>
      <c r="F304" s="9">
        <v>499</v>
      </c>
      <c r="G304" s="9">
        <v>499</v>
      </c>
      <c r="H304" s="8"/>
      <c r="I304" s="8"/>
      <c r="J304" s="8"/>
      <c r="K304" s="10">
        <f>IF(COUNT(E304:J304)=0,"",MIN(E304:J304))</f>
      </c>
      <c r="L304" s="10">
        <f>IF(COUNT(E304:J304)=0,"",MAX(E304:J304))</f>
      </c>
      <c r="M304" s="5">
        <f>COUNT(E304:J304)</f>
      </c>
      <c r="N304" s="11">
        <f>IF(COUNT(E304:J304)=0,"",MEDIAN(E304:J304))</f>
      </c>
      <c r="O304" s="8"/>
      <c r="P304" s="12">
        <f>IF(OR(O304="",N304=""),"",1-O304/N304)</f>
      </c>
      <c r="Q304" s="5" t="s">
        <v>2</v>
      </c>
      <c r="R304" s="13"/>
      <c r="S304" s="6"/>
      <c r="T304" s="11">
        <f>IF(R304&lt;&gt;"",R304/(1-IF(S304&lt;&gt;"",S304,$E$3)),IF(N304="","",N304*(1+$B$3)))</f>
      </c>
    </row>
    <row r="305" spans="1:20" x14ac:dyDescent="0.25">
      <c r="A305" s="5" t="s">
        <v>583</v>
      </c>
      <c r="B305" s="5" t="s">
        <v>605</v>
      </c>
      <c r="C305" s="5" t="s">
        <v>606</v>
      </c>
      <c r="D305" s="5" t="s">
        <v>85</v>
      </c>
      <c r="E305" s="8"/>
      <c r="F305" s="9">
        <v>480</v>
      </c>
      <c r="G305" s="9">
        <v>480</v>
      </c>
      <c r="H305" s="8"/>
      <c r="I305" s="8"/>
      <c r="J305" s="8"/>
      <c r="K305" s="10">
        <f>IF(COUNT(E305:J305)=0,"",MIN(E305:J305))</f>
      </c>
      <c r="L305" s="10">
        <f>IF(COUNT(E305:J305)=0,"",MAX(E305:J305))</f>
      </c>
      <c r="M305" s="5">
        <f>COUNT(E305:J305)</f>
      </c>
      <c r="N305" s="11">
        <f>IF(COUNT(E305:J305)=0,"",MEDIAN(E305:J305))</f>
      </c>
      <c r="O305" s="8"/>
      <c r="P305" s="12">
        <f>IF(OR(O305="",N305=""),"",1-O305/N305)</f>
      </c>
      <c r="Q305" s="5" t="s">
        <v>2</v>
      </c>
      <c r="R305" s="13"/>
      <c r="S305" s="6"/>
      <c r="T305" s="11">
        <f>IF(R305&lt;&gt;"",R305/(1-IF(S305&lt;&gt;"",S305,$E$3)),IF(N305="","",N305*(1+$B$3)))</f>
      </c>
    </row>
    <row r="306" spans="1:20" x14ac:dyDescent="0.25">
      <c r="A306" s="5" t="s">
        <v>583</v>
      </c>
      <c r="B306" s="5" t="s">
        <v>607</v>
      </c>
      <c r="C306" s="5" t="s">
        <v>608</v>
      </c>
      <c r="D306" s="5" t="s">
        <v>85</v>
      </c>
      <c r="E306" s="8"/>
      <c r="F306" s="9">
        <v>699</v>
      </c>
      <c r="G306" s="9">
        <v>699</v>
      </c>
      <c r="H306" s="8"/>
      <c r="I306" s="8"/>
      <c r="J306" s="8"/>
      <c r="K306" s="10">
        <f>IF(COUNT(E306:J306)=0,"",MIN(E306:J306))</f>
      </c>
      <c r="L306" s="10">
        <f>IF(COUNT(E306:J306)=0,"",MAX(E306:J306))</f>
      </c>
      <c r="M306" s="5">
        <f>COUNT(E306:J306)</f>
      </c>
      <c r="N306" s="11">
        <f>IF(COUNT(E306:J306)=0,"",MEDIAN(E306:J306))</f>
      </c>
      <c r="O306" s="8"/>
      <c r="P306" s="12">
        <f>IF(OR(O306="",N306=""),"",1-O306/N306)</f>
      </c>
      <c r="Q306" s="5" t="s">
        <v>2</v>
      </c>
      <c r="R306" s="13"/>
      <c r="S306" s="6"/>
      <c r="T306" s="11">
        <f>IF(R306&lt;&gt;"",R306/(1-IF(S306&lt;&gt;"",S306,$E$3)),IF(N306="","",N306*(1+$B$3)))</f>
      </c>
    </row>
    <row r="307" spans="1:20" x14ac:dyDescent="0.25">
      <c r="A307" s="5" t="s">
        <v>583</v>
      </c>
      <c r="B307" s="5" t="s">
        <v>609</v>
      </c>
      <c r="C307" s="5" t="s">
        <v>610</v>
      </c>
      <c r="D307" s="5" t="s">
        <v>85</v>
      </c>
      <c r="E307" s="8"/>
      <c r="F307" s="9">
        <v>1250</v>
      </c>
      <c r="G307" s="9">
        <v>1250</v>
      </c>
      <c r="H307" s="8"/>
      <c r="I307" s="8"/>
      <c r="J307" s="8"/>
      <c r="K307" s="10">
        <f>IF(COUNT(E307:J307)=0,"",MIN(E307:J307))</f>
      </c>
      <c r="L307" s="10">
        <f>IF(COUNT(E307:J307)=0,"",MAX(E307:J307))</f>
      </c>
      <c r="M307" s="5">
        <f>COUNT(E307:J307)</f>
      </c>
      <c r="N307" s="11">
        <f>IF(COUNT(E307:J307)=0,"",MEDIAN(E307:J307))</f>
      </c>
      <c r="O307" s="8"/>
      <c r="P307" s="12">
        <f>IF(OR(O307="",N307=""),"",1-O307/N307)</f>
      </c>
      <c r="Q307" s="5" t="s">
        <v>2</v>
      </c>
      <c r="R307" s="13"/>
      <c r="S307" s="6"/>
      <c r="T307" s="11">
        <f>IF(R307&lt;&gt;"",R307/(1-IF(S307&lt;&gt;"",S307,$E$3)),IF(N307="","",N307*(1+$B$3)))</f>
      </c>
    </row>
    <row r="308" spans="1:20" x14ac:dyDescent="0.25">
      <c r="A308" s="5" t="s">
        <v>583</v>
      </c>
      <c r="B308" s="5" t="s">
        <v>611</v>
      </c>
      <c r="C308" s="5" t="s">
        <v>612</v>
      </c>
      <c r="D308" s="5" t="s">
        <v>2</v>
      </c>
      <c r="E308" s="8"/>
      <c r="F308" s="9">
        <v>700</v>
      </c>
      <c r="G308" s="9">
        <v>700</v>
      </c>
      <c r="H308" s="8"/>
      <c r="I308" s="8"/>
      <c r="J308" s="8"/>
      <c r="K308" s="10">
        <f>IF(COUNT(E308:J308)=0,"",MIN(E308:J308))</f>
      </c>
      <c r="L308" s="10">
        <f>IF(COUNT(E308:J308)=0,"",MAX(E308:J308))</f>
      </c>
      <c r="M308" s="5">
        <f>COUNT(E308:J308)</f>
      </c>
      <c r="N308" s="11">
        <f>IF(COUNT(E308:J308)=0,"",MEDIAN(E308:J308))</f>
      </c>
      <c r="O308" s="8"/>
      <c r="P308" s="12">
        <f>IF(OR(O308="",N308=""),"",1-O308/N308)</f>
      </c>
      <c r="Q308" s="5" t="s">
        <v>2</v>
      </c>
      <c r="R308" s="13"/>
      <c r="S308" s="6"/>
      <c r="T308" s="11">
        <f>IF(R308&lt;&gt;"",R308/(1-IF(S308&lt;&gt;"",S308,$E$3)),IF(N308="","",N308*(1+$B$3)))</f>
      </c>
    </row>
    <row r="309" spans="1:20" x14ac:dyDescent="0.25">
      <c r="A309" s="5" t="s">
        <v>583</v>
      </c>
      <c r="B309" s="5" t="s">
        <v>613</v>
      </c>
      <c r="C309" s="5" t="s">
        <v>614</v>
      </c>
      <c r="D309" s="5" t="s">
        <v>85</v>
      </c>
      <c r="E309" s="9">
        <v>300</v>
      </c>
      <c r="F309" s="8"/>
      <c r="G309" s="8"/>
      <c r="H309" s="8"/>
      <c r="I309" s="8"/>
      <c r="J309" s="8"/>
      <c r="K309" s="10">
        <f>IF(COUNT(E309:J309)=0,"",MIN(E309:J309))</f>
      </c>
      <c r="L309" s="10">
        <f>IF(COUNT(E309:J309)=0,"",MAX(E309:J309))</f>
      </c>
      <c r="M309" s="5">
        <f>COUNT(E309:J309)</f>
      </c>
      <c r="N309" s="11">
        <f>IF(COUNT(E309:J309)=0,"",MEDIAN(E309:J309))</f>
      </c>
      <c r="O309" s="8"/>
      <c r="P309" s="12">
        <f>IF(OR(O309="",N309=""),"",1-O309/N309)</f>
      </c>
      <c r="Q309" s="5" t="s">
        <v>2</v>
      </c>
      <c r="R309" s="13"/>
      <c r="S309" s="6"/>
      <c r="T309" s="11">
        <f>IF(R309&lt;&gt;"",R309/(1-IF(S309&lt;&gt;"",S309,$E$3)),IF(N309="","",N309*(1+$B$3)))</f>
      </c>
    </row>
    <row r="310" spans="1:20" x14ac:dyDescent="0.25">
      <c r="A310" s="5" t="s">
        <v>583</v>
      </c>
      <c r="B310" s="5" t="s">
        <v>615</v>
      </c>
      <c r="C310" s="5" t="s">
        <v>616</v>
      </c>
      <c r="D310" s="5" t="s">
        <v>85</v>
      </c>
      <c r="E310" s="9">
        <v>400</v>
      </c>
      <c r="F310" s="8"/>
      <c r="G310" s="8"/>
      <c r="H310" s="8"/>
      <c r="I310" s="8"/>
      <c r="J310" s="8"/>
      <c r="K310" s="10">
        <f>IF(COUNT(E310:J310)=0,"",MIN(E310:J310))</f>
      </c>
      <c r="L310" s="10">
        <f>IF(COUNT(E310:J310)=0,"",MAX(E310:J310))</f>
      </c>
      <c r="M310" s="5">
        <f>COUNT(E310:J310)</f>
      </c>
      <c r="N310" s="11">
        <f>IF(COUNT(E310:J310)=0,"",MEDIAN(E310:J310))</f>
      </c>
      <c r="O310" s="8"/>
      <c r="P310" s="12">
        <f>IF(OR(O310="",N310=""),"",1-O310/N310)</f>
      </c>
      <c r="Q310" s="5" t="s">
        <v>2</v>
      </c>
      <c r="R310" s="13"/>
      <c r="S310" s="6"/>
      <c r="T310" s="11">
        <f>IF(R310&lt;&gt;"",R310/(1-IF(S310&lt;&gt;"",S310,$E$3)),IF(N310="","",N310*(1+$B$3)))</f>
      </c>
    </row>
    <row r="311" spans="1:20" x14ac:dyDescent="0.25">
      <c r="A311" s="5" t="s">
        <v>583</v>
      </c>
      <c r="B311" s="5" t="s">
        <v>617</v>
      </c>
      <c r="C311" s="5" t="s">
        <v>618</v>
      </c>
      <c r="D311" s="5" t="s">
        <v>85</v>
      </c>
      <c r="E311" s="9">
        <v>100</v>
      </c>
      <c r="F311" s="8"/>
      <c r="G311" s="8"/>
      <c r="H311" s="8"/>
      <c r="I311" s="8"/>
      <c r="J311" s="8"/>
      <c r="K311" s="10">
        <f>IF(COUNT(E311:J311)=0,"",MIN(E311:J311))</f>
      </c>
      <c r="L311" s="10">
        <f>IF(COUNT(E311:J311)=0,"",MAX(E311:J311))</f>
      </c>
      <c r="M311" s="5">
        <f>COUNT(E311:J311)</f>
      </c>
      <c r="N311" s="11">
        <f>IF(COUNT(E311:J311)=0,"",MEDIAN(E311:J311))</f>
      </c>
      <c r="O311" s="8"/>
      <c r="P311" s="12">
        <f>IF(OR(O311="",N311=""),"",1-O311/N311)</f>
      </c>
      <c r="Q311" s="5" t="s">
        <v>2</v>
      </c>
      <c r="R311" s="13"/>
      <c r="S311" s="6"/>
      <c r="T311" s="11">
        <f>IF(R311&lt;&gt;"",R311/(1-IF(S311&lt;&gt;"",S311,$E$3)),IF(N311="","",N311*(1+$B$3)))</f>
      </c>
    </row>
    <row r="312" spans="1:20" x14ac:dyDescent="0.25">
      <c r="A312" s="5" t="s">
        <v>583</v>
      </c>
      <c r="B312" s="5" t="s">
        <v>619</v>
      </c>
      <c r="C312" s="5" t="s">
        <v>620</v>
      </c>
      <c r="D312" s="5" t="s">
        <v>178</v>
      </c>
      <c r="E312" s="8"/>
      <c r="F312" s="9">
        <v>1105.27</v>
      </c>
      <c r="G312" s="9">
        <v>1105.27</v>
      </c>
      <c r="H312" s="8"/>
      <c r="I312" s="8"/>
      <c r="J312" s="8"/>
      <c r="K312" s="10">
        <f>IF(COUNT(E312:J312)=0,"",MIN(E312:J312))</f>
      </c>
      <c r="L312" s="10">
        <f>IF(COUNT(E312:J312)=0,"",MAX(E312:J312))</f>
      </c>
      <c r="M312" s="5">
        <f>COUNT(E312:J312)</f>
      </c>
      <c r="N312" s="11">
        <f>IF(COUNT(E312:J312)=0,"",MEDIAN(E312:J312))</f>
      </c>
      <c r="O312" s="8"/>
      <c r="P312" s="12">
        <f>IF(OR(O312="",N312=""),"",1-O312/N312)</f>
      </c>
      <c r="Q312" s="5" t="s">
        <v>2</v>
      </c>
      <c r="R312" s="13"/>
      <c r="S312" s="6"/>
      <c r="T312" s="11">
        <f>IF(R312&lt;&gt;"",R312/(1-IF(S312&lt;&gt;"",S312,$E$3)),IF(N312="","",N312*(1+$B$3)))</f>
      </c>
    </row>
    <row r="313" spans="1:20" x14ac:dyDescent="0.25">
      <c r="A313" s="5" t="s">
        <v>583</v>
      </c>
      <c r="B313" s="5" t="s">
        <v>621</v>
      </c>
      <c r="C313" s="5" t="s">
        <v>622</v>
      </c>
      <c r="D313" s="5" t="s">
        <v>178</v>
      </c>
      <c r="E313" s="9">
        <v>2000</v>
      </c>
      <c r="F313" s="9">
        <v>1105.27</v>
      </c>
      <c r="G313" s="8"/>
      <c r="H313" s="8"/>
      <c r="I313" s="8"/>
      <c r="J313" s="8"/>
      <c r="K313" s="10">
        <f>IF(COUNT(E313:J313)=0,"",MIN(E313:J313))</f>
      </c>
      <c r="L313" s="10">
        <f>IF(COUNT(E313:J313)=0,"",MAX(E313:J313))</f>
      </c>
      <c r="M313" s="5">
        <f>COUNT(E313:J313)</f>
      </c>
      <c r="N313" s="11">
        <f>IF(COUNT(E313:J313)=0,"",MEDIAN(E313:J313))</f>
      </c>
      <c r="O313" s="8"/>
      <c r="P313" s="12">
        <f>IF(OR(O313="",N313=""),"",1-O313/N313)</f>
      </c>
      <c r="Q313" s="5" t="s">
        <v>2</v>
      </c>
      <c r="R313" s="13"/>
      <c r="S313" s="6"/>
      <c r="T313" s="11">
        <f>IF(R313&lt;&gt;"",R313/(1-IF(S313&lt;&gt;"",S313,$E$3)),IF(N313="","",N313*(1+$B$3)))</f>
      </c>
    </row>
    <row r="314" spans="1:20" x14ac:dyDescent="0.25">
      <c r="A314" s="5" t="s">
        <v>583</v>
      </c>
      <c r="B314" s="5" t="s">
        <v>621</v>
      </c>
      <c r="C314" s="5" t="s">
        <v>623</v>
      </c>
      <c r="D314" s="5" t="s">
        <v>178</v>
      </c>
      <c r="E314" s="8"/>
      <c r="F314" s="8"/>
      <c r="G314" s="9">
        <v>1105.27</v>
      </c>
      <c r="H314" s="8"/>
      <c r="I314" s="8"/>
      <c r="J314" s="8"/>
      <c r="K314" s="10">
        <f>IF(COUNT(E314:J314)=0,"",MIN(E314:J314))</f>
      </c>
      <c r="L314" s="10">
        <f>IF(COUNT(E314:J314)=0,"",MAX(E314:J314))</f>
      </c>
      <c r="M314" s="5">
        <f>COUNT(E314:J314)</f>
      </c>
      <c r="N314" s="11">
        <f>IF(COUNT(E314:J314)=0,"",MEDIAN(E314:J314))</f>
      </c>
      <c r="O314" s="8"/>
      <c r="P314" s="12">
        <f>IF(OR(O314="",N314=""),"",1-O314/N314)</f>
      </c>
      <c r="Q314" s="5" t="s">
        <v>2</v>
      </c>
      <c r="R314" s="13"/>
      <c r="S314" s="6"/>
      <c r="T314" s="11">
        <f>IF(R314&lt;&gt;"",R314/(1-IF(S314&lt;&gt;"",S314,$E$3)),IF(N314="","",N314*(1+$B$3)))</f>
      </c>
    </row>
    <row r="315" spans="1:20" x14ac:dyDescent="0.25">
      <c r="A315" s="5" t="s">
        <v>583</v>
      </c>
      <c r="B315" s="5" t="s">
        <v>624</v>
      </c>
      <c r="C315" s="5" t="s">
        <v>625</v>
      </c>
      <c r="D315" s="5" t="s">
        <v>178</v>
      </c>
      <c r="E315" s="9">
        <v>1500</v>
      </c>
      <c r="F315" s="9">
        <v>1042.15</v>
      </c>
      <c r="G315" s="9">
        <v>1042.15</v>
      </c>
      <c r="H315" s="8"/>
      <c r="I315" s="8"/>
      <c r="J315" s="8"/>
      <c r="K315" s="10">
        <f>IF(COUNT(E315:J315)=0,"",MIN(E315:J315))</f>
      </c>
      <c r="L315" s="10">
        <f>IF(COUNT(E315:J315)=0,"",MAX(E315:J315))</f>
      </c>
      <c r="M315" s="5">
        <f>COUNT(E315:J315)</f>
      </c>
      <c r="N315" s="11">
        <f>IF(COUNT(E315:J315)=0,"",MEDIAN(E315:J315))</f>
      </c>
      <c r="O315" s="8"/>
      <c r="P315" s="12">
        <f>IF(OR(O315="",N315=""),"",1-O315/N315)</f>
      </c>
      <c r="Q315" s="5" t="s">
        <v>2</v>
      </c>
      <c r="R315" s="13"/>
      <c r="S315" s="6"/>
      <c r="T315" s="11">
        <f>IF(R315&lt;&gt;"",R315/(1-IF(S315&lt;&gt;"",S315,$E$3)),IF(N315="","",N315*(1+$B$3)))</f>
      </c>
    </row>
    <row r="316" spans="1:20" x14ac:dyDescent="0.25">
      <c r="A316" s="5" t="s">
        <v>583</v>
      </c>
      <c r="B316" s="5" t="s">
        <v>626</v>
      </c>
      <c r="C316" s="5" t="s">
        <v>627</v>
      </c>
      <c r="D316" s="5" t="s">
        <v>85</v>
      </c>
      <c r="E316" s="9">
        <v>100</v>
      </c>
      <c r="F316" s="9">
        <v>52.24</v>
      </c>
      <c r="G316" s="9">
        <v>52.24</v>
      </c>
      <c r="H316" s="8"/>
      <c r="I316" s="8"/>
      <c r="J316" s="8"/>
      <c r="K316" s="10">
        <f>IF(COUNT(E316:J316)=0,"",MIN(E316:J316))</f>
      </c>
      <c r="L316" s="10">
        <f>IF(COUNT(E316:J316)=0,"",MAX(E316:J316))</f>
      </c>
      <c r="M316" s="5">
        <f>COUNT(E316:J316)</f>
      </c>
      <c r="N316" s="11">
        <f>IF(COUNT(E316:J316)=0,"",MEDIAN(E316:J316))</f>
      </c>
      <c r="O316" s="8"/>
      <c r="P316" s="12">
        <f>IF(OR(O316="",N316=""),"",1-O316/N316)</f>
      </c>
      <c r="Q316" s="5" t="s">
        <v>2</v>
      </c>
      <c r="R316" s="13"/>
      <c r="S316" s="6"/>
      <c r="T316" s="11">
        <f>IF(R316&lt;&gt;"",R316/(1-IF(S316&lt;&gt;"",S316,$E$3)),IF(N316="","",N316*(1+$B$3)))</f>
      </c>
    </row>
    <row r="317" spans="1:20" x14ac:dyDescent="0.25">
      <c r="A317" s="5" t="s">
        <v>583</v>
      </c>
      <c r="B317" s="5" t="s">
        <v>628</v>
      </c>
      <c r="C317" s="5" t="s">
        <v>629</v>
      </c>
      <c r="D317" s="5" t="s">
        <v>85</v>
      </c>
      <c r="E317" s="9">
        <v>100</v>
      </c>
      <c r="F317" s="9">
        <v>105.3</v>
      </c>
      <c r="G317" s="9">
        <v>105.3</v>
      </c>
      <c r="H317" s="8"/>
      <c r="I317" s="8"/>
      <c r="J317" s="8"/>
      <c r="K317" s="10">
        <f>IF(COUNT(E317:J317)=0,"",MIN(E317:J317))</f>
      </c>
      <c r="L317" s="10">
        <f>IF(COUNT(E317:J317)=0,"",MAX(E317:J317))</f>
      </c>
      <c r="M317" s="5">
        <f>COUNT(E317:J317)</f>
      </c>
      <c r="N317" s="11">
        <f>IF(COUNT(E317:J317)=0,"",MEDIAN(E317:J317))</f>
      </c>
      <c r="O317" s="8"/>
      <c r="P317" s="12">
        <f>IF(OR(O317="",N317=""),"",1-O317/N317)</f>
      </c>
      <c r="Q317" s="5" t="s">
        <v>2</v>
      </c>
      <c r="R317" s="13"/>
      <c r="S317" s="6"/>
      <c r="T317" s="11">
        <f>IF(R317&lt;&gt;"",R317/(1-IF(S317&lt;&gt;"",S317,$E$3)),IF(N317="","",N317*(1+$B$3)))</f>
      </c>
    </row>
    <row r="318" spans="1:20" x14ac:dyDescent="0.25">
      <c r="A318" s="14" t="s">
        <v>630</v>
      </c>
      <c r="B318" s="14" t="s">
        <v>631</v>
      </c>
      <c r="C318" s="14" t="s">
        <v>632</v>
      </c>
      <c r="D318" s="14" t="s">
        <v>85</v>
      </c>
      <c r="E318" s="15">
        <v>2520</v>
      </c>
      <c r="F318" s="18"/>
      <c r="G318" s="18"/>
      <c r="H318" s="18"/>
      <c r="I318" s="18"/>
      <c r="J318" s="18"/>
      <c r="K318" s="16">
        <f>IF(COUNT(E318:J318)=0,"",MIN(E318:J318))</f>
      </c>
      <c r="L318" s="16">
        <f>IF(COUNT(E318:J318)=0,"",MAX(E318:J318))</f>
      </c>
      <c r="M318" s="14">
        <f>COUNT(E318:J318)</f>
      </c>
      <c r="N318" s="17">
        <f>IF(COUNT(E318:J318)=0,"",MEDIAN(E318:J318))</f>
      </c>
      <c r="O318" s="18"/>
      <c r="P318" s="19">
        <f>IF(OR(O318="",N318=""),"",1-O318/N318)</f>
      </c>
      <c r="Q318" s="14" t="s">
        <v>2</v>
      </c>
      <c r="R318" s="13"/>
      <c r="S318" s="6"/>
      <c r="T318" s="11">
        <f>IF(R318&lt;&gt;"",R318/(1-IF(S318&lt;&gt;"",S318,$E$3)),IF(N318="","",N318*(1+$B$3)))</f>
      </c>
    </row>
    <row r="319" spans="1:20" x14ac:dyDescent="0.25">
      <c r="A319" s="14" t="s">
        <v>630</v>
      </c>
      <c r="B319" s="14" t="s">
        <v>633</v>
      </c>
      <c r="C319" s="14" t="s">
        <v>634</v>
      </c>
      <c r="D319" s="14" t="s">
        <v>85</v>
      </c>
      <c r="E319" s="15">
        <v>3520</v>
      </c>
      <c r="F319" s="18"/>
      <c r="G319" s="18"/>
      <c r="H319" s="18"/>
      <c r="I319" s="18"/>
      <c r="J319" s="18"/>
      <c r="K319" s="16">
        <f>IF(COUNT(E319:J319)=0,"",MIN(E319:J319))</f>
      </c>
      <c r="L319" s="16">
        <f>IF(COUNT(E319:J319)=0,"",MAX(E319:J319))</f>
      </c>
      <c r="M319" s="14">
        <f>COUNT(E319:J319)</f>
      </c>
      <c r="N319" s="17">
        <f>IF(COUNT(E319:J319)=0,"",MEDIAN(E319:J319))</f>
      </c>
      <c r="O319" s="18"/>
      <c r="P319" s="19">
        <f>IF(OR(O319="",N319=""),"",1-O319/N319)</f>
      </c>
      <c r="Q319" s="14" t="s">
        <v>2</v>
      </c>
      <c r="R319" s="13"/>
      <c r="S319" s="6"/>
      <c r="T319" s="11">
        <f>IF(R319&lt;&gt;"",R319/(1-IF(S319&lt;&gt;"",S319,$E$3)),IF(N319="","",N319*(1+$B$3)))</f>
      </c>
    </row>
    <row r="320" spans="1:20" x14ac:dyDescent="0.25">
      <c r="A320" s="14" t="s">
        <v>630</v>
      </c>
      <c r="B320" s="14" t="s">
        <v>633</v>
      </c>
      <c r="C320" s="14" t="s">
        <v>635</v>
      </c>
      <c r="D320" s="14" t="s">
        <v>85</v>
      </c>
      <c r="E320" s="18"/>
      <c r="F320" s="18"/>
      <c r="G320" s="18"/>
      <c r="H320" s="18"/>
      <c r="I320" s="18"/>
      <c r="J320" s="15">
        <v>3520</v>
      </c>
      <c r="K320" s="16">
        <f>IF(COUNT(E320:J320)=0,"",MIN(E320:J320))</f>
      </c>
      <c r="L320" s="16">
        <f>IF(COUNT(E320:J320)=0,"",MAX(E320:J320))</f>
      </c>
      <c r="M320" s="14">
        <f>COUNT(E320:J320)</f>
      </c>
      <c r="N320" s="17">
        <f>IF(COUNT(E320:J320)=0,"",MEDIAN(E320:J320))</f>
      </c>
      <c r="O320" s="18"/>
      <c r="P320" s="19">
        <f>IF(OR(O320="",N320=""),"",1-O320/N320)</f>
      </c>
      <c r="Q320" s="14" t="s">
        <v>2</v>
      </c>
      <c r="R320" s="13"/>
      <c r="S320" s="6"/>
      <c r="T320" s="11">
        <f>IF(R320&lt;&gt;"",R320/(1-IF(S320&lt;&gt;"",S320,$E$3)),IF(N320="","",N320*(1+$B$3)))</f>
      </c>
    </row>
    <row r="321" spans="1:20" x14ac:dyDescent="0.25">
      <c r="A321" s="14" t="s">
        <v>630</v>
      </c>
      <c r="B321" s="14" t="s">
        <v>636</v>
      </c>
      <c r="C321" s="14" t="s">
        <v>637</v>
      </c>
      <c r="D321" s="14" t="s">
        <v>178</v>
      </c>
      <c r="E321" s="15">
        <v>82</v>
      </c>
      <c r="F321" s="18"/>
      <c r="G321" s="18"/>
      <c r="H321" s="18"/>
      <c r="I321" s="18"/>
      <c r="J321" s="18"/>
      <c r="K321" s="16">
        <f>IF(COUNT(E321:J321)=0,"",MIN(E321:J321))</f>
      </c>
      <c r="L321" s="16">
        <f>IF(COUNT(E321:J321)=0,"",MAX(E321:J321))</f>
      </c>
      <c r="M321" s="14">
        <f>COUNT(E321:J321)</f>
      </c>
      <c r="N321" s="17">
        <f>IF(COUNT(E321:J321)=0,"",MEDIAN(E321:J321))</f>
      </c>
      <c r="O321" s="18"/>
      <c r="P321" s="19">
        <f>IF(OR(O321="",N321=""),"",1-O321/N321)</f>
      </c>
      <c r="Q321" s="14" t="s">
        <v>2</v>
      </c>
      <c r="R321" s="13"/>
      <c r="S321" s="6"/>
      <c r="T321" s="11">
        <f>IF(R321&lt;&gt;"",R321/(1-IF(S321&lt;&gt;"",S321,$E$3)),IF(N321="","",N321*(1+$B$3)))</f>
      </c>
    </row>
    <row r="322" spans="1:20" x14ac:dyDescent="0.25">
      <c r="A322" s="14" t="s">
        <v>630</v>
      </c>
      <c r="B322" s="14" t="s">
        <v>638</v>
      </c>
      <c r="C322" s="14" t="s">
        <v>639</v>
      </c>
      <c r="D322" s="14" t="s">
        <v>85</v>
      </c>
      <c r="E322" s="15">
        <v>1199.8</v>
      </c>
      <c r="F322" s="18"/>
      <c r="G322" s="18"/>
      <c r="H322" s="18"/>
      <c r="I322" s="15">
        <v>1199.8</v>
      </c>
      <c r="J322" s="18"/>
      <c r="K322" s="16">
        <f>IF(COUNT(E322:J322)=0,"",MIN(E322:J322))</f>
      </c>
      <c r="L322" s="16">
        <f>IF(COUNT(E322:J322)=0,"",MAX(E322:J322))</f>
      </c>
      <c r="M322" s="14">
        <f>COUNT(E322:J322)</f>
      </c>
      <c r="N322" s="17">
        <f>IF(COUNT(E322:J322)=0,"",MEDIAN(E322:J322))</f>
      </c>
      <c r="O322" s="18"/>
      <c r="P322" s="19">
        <f>IF(OR(O322="",N322=""),"",1-O322/N322)</f>
      </c>
      <c r="Q322" s="14" t="s">
        <v>2</v>
      </c>
      <c r="R322" s="13"/>
      <c r="S322" s="6"/>
      <c r="T322" s="11">
        <f>IF(R322&lt;&gt;"",R322/(1-IF(S322&lt;&gt;"",S322,$E$3)),IF(N322="","",N322*(1+$B$3)))</f>
      </c>
    </row>
    <row r="323" spans="1:20" x14ac:dyDescent="0.25">
      <c r="A323" s="14" t="s">
        <v>630</v>
      </c>
      <c r="B323" s="14" t="s">
        <v>640</v>
      </c>
      <c r="C323" s="14" t="s">
        <v>641</v>
      </c>
      <c r="D323" s="14" t="s">
        <v>85</v>
      </c>
      <c r="E323" s="18"/>
      <c r="F323" s="15">
        <v>116</v>
      </c>
      <c r="G323" s="15">
        <v>116</v>
      </c>
      <c r="H323" s="18"/>
      <c r="I323" s="18"/>
      <c r="J323" s="18"/>
      <c r="K323" s="16">
        <f>IF(COUNT(E323:J323)=0,"",MIN(E323:J323))</f>
      </c>
      <c r="L323" s="16">
        <f>IF(COUNT(E323:J323)=0,"",MAX(E323:J323))</f>
      </c>
      <c r="M323" s="14">
        <f>COUNT(E323:J323)</f>
      </c>
      <c r="N323" s="17">
        <f>IF(COUNT(E323:J323)=0,"",MEDIAN(E323:J323))</f>
      </c>
      <c r="O323" s="18"/>
      <c r="P323" s="19">
        <f>IF(OR(O323="",N323=""),"",1-O323/N323)</f>
      </c>
      <c r="Q323" s="14" t="s">
        <v>2</v>
      </c>
      <c r="R323" s="13"/>
      <c r="S323" s="6"/>
      <c r="T323" s="11">
        <f>IF(R323&lt;&gt;"",R323/(1-IF(S323&lt;&gt;"",S323,$E$3)),IF(N323="","",N323*(1+$B$3)))</f>
      </c>
    </row>
    <row r="324" spans="1:20" x14ac:dyDescent="0.25">
      <c r="A324" s="14" t="s">
        <v>630</v>
      </c>
      <c r="B324" s="14" t="s">
        <v>642</v>
      </c>
      <c r="C324" s="14" t="s">
        <v>643</v>
      </c>
      <c r="D324" s="14" t="s">
        <v>85</v>
      </c>
      <c r="E324" s="18"/>
      <c r="F324" s="15">
        <v>1261</v>
      </c>
      <c r="G324" s="18"/>
      <c r="H324" s="18"/>
      <c r="I324" s="18"/>
      <c r="J324" s="18"/>
      <c r="K324" s="16">
        <f>IF(COUNT(E324:J324)=0,"",MIN(E324:J324))</f>
      </c>
      <c r="L324" s="16">
        <f>IF(COUNT(E324:J324)=0,"",MAX(E324:J324))</f>
      </c>
      <c r="M324" s="14">
        <f>COUNT(E324:J324)</f>
      </c>
      <c r="N324" s="17">
        <f>IF(COUNT(E324:J324)=0,"",MEDIAN(E324:J324))</f>
      </c>
      <c r="O324" s="18"/>
      <c r="P324" s="19">
        <f>IF(OR(O324="",N324=""),"",1-O324/N324)</f>
      </c>
      <c r="Q324" s="14" t="s">
        <v>2</v>
      </c>
      <c r="R324" s="13"/>
      <c r="S324" s="6"/>
      <c r="T324" s="11">
        <f>IF(R324&lt;&gt;"",R324/(1-IF(S324&lt;&gt;"",S324,$E$3)),IF(N324="","",N324*(1+$B$3)))</f>
      </c>
    </row>
    <row r="325" spans="1:20" x14ac:dyDescent="0.25">
      <c r="A325" s="14" t="s">
        <v>630</v>
      </c>
      <c r="B325" s="14" t="s">
        <v>644</v>
      </c>
      <c r="C325" s="14" t="s">
        <v>645</v>
      </c>
      <c r="D325" s="14" t="s">
        <v>85</v>
      </c>
      <c r="E325" s="18"/>
      <c r="F325" s="15">
        <v>1040</v>
      </c>
      <c r="G325" s="18"/>
      <c r="H325" s="18"/>
      <c r="I325" s="18"/>
      <c r="J325" s="18"/>
      <c r="K325" s="16">
        <f>IF(COUNT(E325:J325)=0,"",MIN(E325:J325))</f>
      </c>
      <c r="L325" s="16">
        <f>IF(COUNT(E325:J325)=0,"",MAX(E325:J325))</f>
      </c>
      <c r="M325" s="14">
        <f>COUNT(E325:J325)</f>
      </c>
      <c r="N325" s="17">
        <f>IF(COUNT(E325:J325)=0,"",MEDIAN(E325:J325))</f>
      </c>
      <c r="O325" s="18"/>
      <c r="P325" s="19">
        <f>IF(OR(O325="",N325=""),"",1-O325/N325)</f>
      </c>
      <c r="Q325" s="14" t="s">
        <v>2</v>
      </c>
      <c r="R325" s="13"/>
      <c r="S325" s="6"/>
      <c r="T325" s="11">
        <f>IF(R325&lt;&gt;"",R325/(1-IF(S325&lt;&gt;"",S325,$E$3)),IF(N325="","",N325*(1+$B$3)))</f>
      </c>
    </row>
    <row r="326" spans="1:20" x14ac:dyDescent="0.25">
      <c r="A326" s="14" t="s">
        <v>630</v>
      </c>
      <c r="B326" s="14" t="s">
        <v>646</v>
      </c>
      <c r="C326" s="14" t="s">
        <v>647</v>
      </c>
      <c r="D326" s="14" t="s">
        <v>85</v>
      </c>
      <c r="E326" s="18"/>
      <c r="F326" s="15">
        <v>325</v>
      </c>
      <c r="G326" s="18"/>
      <c r="H326" s="18"/>
      <c r="I326" s="18"/>
      <c r="J326" s="18"/>
      <c r="K326" s="16">
        <f>IF(COUNT(E326:J326)=0,"",MIN(E326:J326))</f>
      </c>
      <c r="L326" s="16">
        <f>IF(COUNT(E326:J326)=0,"",MAX(E326:J326))</f>
      </c>
      <c r="M326" s="14">
        <f>COUNT(E326:J326)</f>
      </c>
      <c r="N326" s="17">
        <f>IF(COUNT(E326:J326)=0,"",MEDIAN(E326:J326))</f>
      </c>
      <c r="O326" s="18"/>
      <c r="P326" s="19">
        <f>IF(OR(O326="",N326=""),"",1-O326/N326)</f>
      </c>
      <c r="Q326" s="14" t="s">
        <v>2</v>
      </c>
      <c r="R326" s="13"/>
      <c r="S326" s="6"/>
      <c r="T326" s="11">
        <f>IF(R326&lt;&gt;"",R326/(1-IF(S326&lt;&gt;"",S326,$E$3)),IF(N326="","",N326*(1+$B$3)))</f>
      </c>
    </row>
    <row r="327" spans="1:20" x14ac:dyDescent="0.25">
      <c r="A327" s="14" t="s">
        <v>630</v>
      </c>
      <c r="B327" s="14" t="s">
        <v>648</v>
      </c>
      <c r="C327" s="14" t="s">
        <v>649</v>
      </c>
      <c r="D327" s="14" t="s">
        <v>329</v>
      </c>
      <c r="E327" s="15">
        <v>74.2</v>
      </c>
      <c r="F327" s="18"/>
      <c r="G327" s="18"/>
      <c r="H327" s="18"/>
      <c r="I327" s="18"/>
      <c r="J327" s="18"/>
      <c r="K327" s="16">
        <f>IF(COUNT(E327:J327)=0,"",MIN(E327:J327))</f>
      </c>
      <c r="L327" s="16">
        <f>IF(COUNT(E327:J327)=0,"",MAX(E327:J327))</f>
      </c>
      <c r="M327" s="14">
        <f>COUNT(E327:J327)</f>
      </c>
      <c r="N327" s="17">
        <f>IF(COUNT(E327:J327)=0,"",MEDIAN(E327:J327))</f>
      </c>
      <c r="O327" s="18"/>
      <c r="P327" s="19">
        <f>IF(OR(O327="",N327=""),"",1-O327/N327)</f>
      </c>
      <c r="Q327" s="14" t="s">
        <v>2</v>
      </c>
      <c r="R327" s="13"/>
      <c r="S327" s="6"/>
      <c r="T327" s="11">
        <f>IF(R327&lt;&gt;"",R327/(1-IF(S327&lt;&gt;"",S327,$E$3)),IF(N327="","",N327*(1+$B$3)))</f>
      </c>
    </row>
    <row r="328" spans="1:20" x14ac:dyDescent="0.25">
      <c r="A328" s="14" t="s">
        <v>630</v>
      </c>
      <c r="B328" s="14" t="s">
        <v>650</v>
      </c>
      <c r="C328" s="14" t="s">
        <v>651</v>
      </c>
      <c r="D328" s="14" t="s">
        <v>85</v>
      </c>
      <c r="E328" s="15">
        <v>50</v>
      </c>
      <c r="F328" s="18"/>
      <c r="G328" s="18"/>
      <c r="H328" s="18"/>
      <c r="I328" s="18"/>
      <c r="J328" s="18"/>
      <c r="K328" s="16">
        <f>IF(COUNT(E328:J328)=0,"",MIN(E328:J328))</f>
      </c>
      <c r="L328" s="16">
        <f>IF(COUNT(E328:J328)=0,"",MAX(E328:J328))</f>
      </c>
      <c r="M328" s="14">
        <f>COUNT(E328:J328)</f>
      </c>
      <c r="N328" s="17">
        <f>IF(COUNT(E328:J328)=0,"",MEDIAN(E328:J328))</f>
      </c>
      <c r="O328" s="18"/>
      <c r="P328" s="19">
        <f>IF(OR(O328="",N328=""),"",1-O328/N328)</f>
      </c>
      <c r="Q328" s="14" t="s">
        <v>2</v>
      </c>
      <c r="R328" s="13"/>
      <c r="S328" s="6"/>
      <c r="T328" s="11">
        <f>IF(R328&lt;&gt;"",R328/(1-IF(S328&lt;&gt;"",S328,$E$3)),IF(N328="","",N328*(1+$B$3)))</f>
      </c>
    </row>
    <row r="329" spans="1:20" x14ac:dyDescent="0.25">
      <c r="A329" s="14" t="s">
        <v>630</v>
      </c>
      <c r="B329" s="14" t="s">
        <v>652</v>
      </c>
      <c r="C329" s="14" t="s">
        <v>653</v>
      </c>
      <c r="D329" s="14" t="s">
        <v>85</v>
      </c>
      <c r="E329" s="18"/>
      <c r="F329" s="15">
        <v>200</v>
      </c>
      <c r="G329" s="18"/>
      <c r="H329" s="18"/>
      <c r="I329" s="18"/>
      <c r="J329" s="18"/>
      <c r="K329" s="16">
        <f>IF(COUNT(E329:J329)=0,"",MIN(E329:J329))</f>
      </c>
      <c r="L329" s="16">
        <f>IF(COUNT(E329:J329)=0,"",MAX(E329:J329))</f>
      </c>
      <c r="M329" s="14">
        <f>COUNT(E329:J329)</f>
      </c>
      <c r="N329" s="17">
        <f>IF(COUNT(E329:J329)=0,"",MEDIAN(E329:J329))</f>
      </c>
      <c r="O329" s="18"/>
      <c r="P329" s="19">
        <f>IF(OR(O329="",N329=""),"",1-O329/N329)</f>
      </c>
      <c r="Q329" s="14" t="s">
        <v>2</v>
      </c>
      <c r="R329" s="13"/>
      <c r="S329" s="6"/>
      <c r="T329" s="11">
        <f>IF(R329&lt;&gt;"",R329/(1-IF(S329&lt;&gt;"",S329,$E$3)),IF(N329="","",N329*(1+$B$3)))</f>
      </c>
    </row>
    <row r="330" spans="1:20" x14ac:dyDescent="0.25">
      <c r="A330" s="14" t="s">
        <v>630</v>
      </c>
      <c r="B330" s="14" t="s">
        <v>654</v>
      </c>
      <c r="C330" s="14" t="s">
        <v>655</v>
      </c>
      <c r="D330" s="14" t="s">
        <v>85</v>
      </c>
      <c r="E330" s="15">
        <v>145</v>
      </c>
      <c r="F330" s="15">
        <v>145</v>
      </c>
      <c r="G330" s="15">
        <v>145</v>
      </c>
      <c r="H330" s="18"/>
      <c r="I330" s="18"/>
      <c r="J330" s="15">
        <v>145</v>
      </c>
      <c r="K330" s="16">
        <f>IF(COUNT(E330:J330)=0,"",MIN(E330:J330))</f>
      </c>
      <c r="L330" s="16">
        <f>IF(COUNT(E330:J330)=0,"",MAX(E330:J330))</f>
      </c>
      <c r="M330" s="14">
        <f>COUNT(E330:J330)</f>
      </c>
      <c r="N330" s="17">
        <f>IF(COUNT(E330:J330)=0,"",MEDIAN(E330:J330))</f>
      </c>
      <c r="O330" s="18"/>
      <c r="P330" s="19">
        <f>IF(OR(O330="",N330=""),"",1-O330/N330)</f>
      </c>
      <c r="Q330" s="14" t="s">
        <v>2</v>
      </c>
      <c r="R330" s="13"/>
      <c r="S330" s="6"/>
      <c r="T330" s="11">
        <f>IF(R330&lt;&gt;"",R330/(1-IF(S330&lt;&gt;"",S330,$E$3)),IF(N330="","",N330*(1+$B$3)))</f>
      </c>
    </row>
    <row r="331" spans="1:20" x14ac:dyDescent="0.25">
      <c r="A331" s="14" t="s">
        <v>630</v>
      </c>
      <c r="B331" s="14" t="s">
        <v>656</v>
      </c>
      <c r="C331" s="14" t="s">
        <v>657</v>
      </c>
      <c r="D331" s="14" t="s">
        <v>85</v>
      </c>
      <c r="E331" s="15">
        <v>100</v>
      </c>
      <c r="F331" s="15">
        <v>327</v>
      </c>
      <c r="G331" s="15">
        <v>327</v>
      </c>
      <c r="H331" s="18"/>
      <c r="I331" s="18"/>
      <c r="J331" s="15">
        <v>182</v>
      </c>
      <c r="K331" s="16">
        <f>IF(COUNT(E331:J331)=0,"",MIN(E331:J331))</f>
      </c>
      <c r="L331" s="16">
        <f>IF(COUNT(E331:J331)=0,"",MAX(E331:J331))</f>
      </c>
      <c r="M331" s="14">
        <f>COUNT(E331:J331)</f>
      </c>
      <c r="N331" s="17">
        <f>IF(COUNT(E331:J331)=0,"",MEDIAN(E331:J331))</f>
      </c>
      <c r="O331" s="18"/>
      <c r="P331" s="19">
        <f>IF(OR(O331="",N331=""),"",1-O331/N331)</f>
      </c>
      <c r="Q331" s="14" t="s">
        <v>2</v>
      </c>
      <c r="R331" s="13"/>
      <c r="S331" s="6"/>
      <c r="T331" s="11">
        <f>IF(R331&lt;&gt;"",R331/(1-IF(S331&lt;&gt;"",S331,$E$3)),IF(N331="","",N331*(1+$B$3)))</f>
      </c>
    </row>
    <row r="332" spans="1:20" x14ac:dyDescent="0.25">
      <c r="A332" s="5" t="s">
        <v>658</v>
      </c>
      <c r="B332" s="5" t="s">
        <v>659</v>
      </c>
      <c r="C332" s="5" t="s">
        <v>660</v>
      </c>
      <c r="D332" s="5" t="s">
        <v>2</v>
      </c>
      <c r="E332" s="8"/>
      <c r="F332" s="8"/>
      <c r="G332" s="8"/>
      <c r="H332" s="9">
        <v>105</v>
      </c>
      <c r="I332" s="8"/>
      <c r="J332" s="8"/>
      <c r="K332" s="10">
        <f>IF(COUNT(E332:J332)=0,"",MIN(E332:J332))</f>
      </c>
      <c r="L332" s="10">
        <f>IF(COUNT(E332:J332)=0,"",MAX(E332:J332))</f>
      </c>
      <c r="M332" s="5">
        <f>COUNT(E332:J332)</f>
      </c>
      <c r="N332" s="11">
        <f>IF(COUNT(E332:J332)=0,"",MEDIAN(E332:J332))</f>
      </c>
      <c r="O332" s="8"/>
      <c r="P332" s="12">
        <f>IF(OR(O332="",N332=""),"",1-O332/N332)</f>
      </c>
      <c r="Q332" s="5" t="s">
        <v>2</v>
      </c>
      <c r="R332" s="13"/>
      <c r="S332" s="6"/>
      <c r="T332" s="11">
        <f>IF(R332&lt;&gt;"",R332/(1-IF(S332&lt;&gt;"",S332,$E$3)),IF(N332="","",N332*(1+$B$3)))</f>
      </c>
    </row>
    <row r="333" spans="1:20" x14ac:dyDescent="0.25">
      <c r="A333" s="5" t="s">
        <v>658</v>
      </c>
      <c r="B333" s="5" t="s">
        <v>661</v>
      </c>
      <c r="C333" s="5" t="s">
        <v>662</v>
      </c>
      <c r="D333" s="5" t="s">
        <v>2</v>
      </c>
      <c r="E333" s="8"/>
      <c r="F333" s="8"/>
      <c r="G333" s="8"/>
      <c r="H333" s="9">
        <v>400</v>
      </c>
      <c r="I333" s="8"/>
      <c r="J333" s="8"/>
      <c r="K333" s="10">
        <f>IF(COUNT(E333:J333)=0,"",MIN(E333:J333))</f>
      </c>
      <c r="L333" s="10">
        <f>IF(COUNT(E333:J333)=0,"",MAX(E333:J333))</f>
      </c>
      <c r="M333" s="5">
        <f>COUNT(E333:J333)</f>
      </c>
      <c r="N333" s="11">
        <f>IF(COUNT(E333:J333)=0,"",MEDIAN(E333:J333))</f>
      </c>
      <c r="O333" s="8"/>
      <c r="P333" s="12">
        <f>IF(OR(O333="",N333=""),"",1-O333/N333)</f>
      </c>
      <c r="Q333" s="5" t="s">
        <v>2</v>
      </c>
      <c r="R333" s="13"/>
      <c r="S333" s="6"/>
      <c r="T333" s="11">
        <f>IF(R333&lt;&gt;"",R333/(1-IF(S333&lt;&gt;"",S333,$E$3)),IF(N333="","",N333*(1+$B$3)))</f>
      </c>
    </row>
    <row r="334" spans="1:20" x14ac:dyDescent="0.25">
      <c r="A334" s="5" t="s">
        <v>658</v>
      </c>
      <c r="B334" s="5" t="s">
        <v>663</v>
      </c>
      <c r="C334" s="5" t="s">
        <v>664</v>
      </c>
      <c r="D334" s="5" t="s">
        <v>85</v>
      </c>
      <c r="E334" s="9">
        <v>8983</v>
      </c>
      <c r="F334" s="8"/>
      <c r="G334" s="8"/>
      <c r="H334" s="8"/>
      <c r="I334" s="8"/>
      <c r="J334" s="8"/>
      <c r="K334" s="10">
        <f>IF(COUNT(E334:J334)=0,"",MIN(E334:J334))</f>
      </c>
      <c r="L334" s="10">
        <f>IF(COUNT(E334:J334)=0,"",MAX(E334:J334))</f>
      </c>
      <c r="M334" s="5">
        <f>COUNT(E334:J334)</f>
      </c>
      <c r="N334" s="11">
        <f>IF(COUNT(E334:J334)=0,"",MEDIAN(E334:J334))</f>
      </c>
      <c r="O334" s="8"/>
      <c r="P334" s="12">
        <f>IF(OR(O334="",N334=""),"",1-O334/N334)</f>
      </c>
      <c r="Q334" s="5" t="s">
        <v>2</v>
      </c>
      <c r="R334" s="13"/>
      <c r="S334" s="6"/>
      <c r="T334" s="11">
        <f>IF(R334&lt;&gt;"",R334/(1-IF(S334&lt;&gt;"",S334,$E$3)),IF(N334="","",N334*(1+$B$3)))</f>
      </c>
    </row>
    <row r="335" spans="1:20" x14ac:dyDescent="0.25">
      <c r="A335" s="5" t="s">
        <v>658</v>
      </c>
      <c r="B335" s="5" t="s">
        <v>663</v>
      </c>
      <c r="C335" s="5" t="s">
        <v>665</v>
      </c>
      <c r="D335" s="5" t="s">
        <v>85</v>
      </c>
      <c r="E335" s="8"/>
      <c r="F335" s="8"/>
      <c r="G335" s="8"/>
      <c r="H335" s="9">
        <v>251.62</v>
      </c>
      <c r="I335" s="8"/>
      <c r="J335" s="8"/>
      <c r="K335" s="10">
        <f>IF(COUNT(E335:J335)=0,"",MIN(E335:J335))</f>
      </c>
      <c r="L335" s="10">
        <f>IF(COUNT(E335:J335)=0,"",MAX(E335:J335))</f>
      </c>
      <c r="M335" s="5">
        <f>COUNT(E335:J335)</f>
      </c>
      <c r="N335" s="11">
        <f>IF(COUNT(E335:J335)=0,"",MEDIAN(E335:J335))</f>
      </c>
      <c r="O335" s="8"/>
      <c r="P335" s="12">
        <f>IF(OR(O335="",N335=""),"",1-O335/N335)</f>
      </c>
      <c r="Q335" s="5" t="s">
        <v>2</v>
      </c>
      <c r="R335" s="13"/>
      <c r="S335" s="6"/>
      <c r="T335" s="11">
        <f>IF(R335&lt;&gt;"",R335/(1-IF(S335&lt;&gt;"",S335,$E$3)),IF(N335="","",N335*(1+$B$3)))</f>
      </c>
    </row>
    <row r="336" spans="1:20" x14ac:dyDescent="0.25">
      <c r="A336" s="5" t="s">
        <v>658</v>
      </c>
      <c r="B336" s="5" t="s">
        <v>666</v>
      </c>
      <c r="C336" s="5" t="s">
        <v>667</v>
      </c>
      <c r="D336" s="5" t="s">
        <v>85</v>
      </c>
      <c r="E336" s="9">
        <v>9731</v>
      </c>
      <c r="F336" s="8"/>
      <c r="G336" s="8"/>
      <c r="H336" s="8"/>
      <c r="I336" s="8"/>
      <c r="J336" s="8"/>
      <c r="K336" s="10">
        <f>IF(COUNT(E336:J336)=0,"",MIN(E336:J336))</f>
      </c>
      <c r="L336" s="10">
        <f>IF(COUNT(E336:J336)=0,"",MAX(E336:J336))</f>
      </c>
      <c r="M336" s="5">
        <f>COUNT(E336:J336)</f>
      </c>
      <c r="N336" s="11">
        <f>IF(COUNT(E336:J336)=0,"",MEDIAN(E336:J336))</f>
      </c>
      <c r="O336" s="8"/>
      <c r="P336" s="12">
        <f>IF(OR(O336="",N336=""),"",1-O336/N336)</f>
      </c>
      <c r="Q336" s="5" t="s">
        <v>2</v>
      </c>
      <c r="R336" s="13"/>
      <c r="S336" s="6"/>
      <c r="T336" s="11">
        <f>IF(R336&lt;&gt;"",R336/(1-IF(S336&lt;&gt;"",S336,$E$3)),IF(N336="","",N336*(1+$B$3)))</f>
      </c>
    </row>
    <row r="337" spans="1:20" x14ac:dyDescent="0.25">
      <c r="A337" s="5" t="s">
        <v>658</v>
      </c>
      <c r="B337" s="5" t="s">
        <v>666</v>
      </c>
      <c r="C337" s="5" t="s">
        <v>668</v>
      </c>
      <c r="D337" s="5" t="s">
        <v>85</v>
      </c>
      <c r="E337" s="8"/>
      <c r="F337" s="8"/>
      <c r="G337" s="8"/>
      <c r="H337" s="9">
        <v>1190</v>
      </c>
      <c r="I337" s="8"/>
      <c r="J337" s="8"/>
      <c r="K337" s="10">
        <f>IF(COUNT(E337:J337)=0,"",MIN(E337:J337))</f>
      </c>
      <c r="L337" s="10">
        <f>IF(COUNT(E337:J337)=0,"",MAX(E337:J337))</f>
      </c>
      <c r="M337" s="5">
        <f>COUNT(E337:J337)</f>
      </c>
      <c r="N337" s="11">
        <f>IF(COUNT(E337:J337)=0,"",MEDIAN(E337:J337))</f>
      </c>
      <c r="O337" s="8"/>
      <c r="P337" s="12">
        <f>IF(OR(O337="",N337=""),"",1-O337/N337)</f>
      </c>
      <c r="Q337" s="5" t="s">
        <v>2</v>
      </c>
      <c r="R337" s="13"/>
      <c r="S337" s="6"/>
      <c r="T337" s="11">
        <f>IF(R337&lt;&gt;"",R337/(1-IF(S337&lt;&gt;"",S337,$E$3)),IF(N337="","",N337*(1+$B$3)))</f>
      </c>
    </row>
    <row r="338" spans="1:20" x14ac:dyDescent="0.25">
      <c r="A338" s="5" t="s">
        <v>658</v>
      </c>
      <c r="B338" s="5" t="s">
        <v>669</v>
      </c>
      <c r="C338" s="5" t="s">
        <v>670</v>
      </c>
      <c r="D338" s="5" t="s">
        <v>85</v>
      </c>
      <c r="E338" s="8"/>
      <c r="F338" s="9">
        <v>10270</v>
      </c>
      <c r="G338" s="8"/>
      <c r="H338" s="8"/>
      <c r="I338" s="8"/>
      <c r="J338" s="8"/>
      <c r="K338" s="10">
        <f>IF(COUNT(E338:J338)=0,"",MIN(E338:J338))</f>
      </c>
      <c r="L338" s="10">
        <f>IF(COUNT(E338:J338)=0,"",MAX(E338:J338))</f>
      </c>
      <c r="M338" s="5">
        <f>COUNT(E338:J338)</f>
      </c>
      <c r="N338" s="11">
        <f>IF(COUNT(E338:J338)=0,"",MEDIAN(E338:J338))</f>
      </c>
      <c r="O338" s="8"/>
      <c r="P338" s="12">
        <f>IF(OR(O338="",N338=""),"",1-O338/N338)</f>
      </c>
      <c r="Q338" s="5" t="s">
        <v>2</v>
      </c>
      <c r="R338" s="13"/>
      <c r="S338" s="6"/>
      <c r="T338" s="11">
        <f>IF(R338&lt;&gt;"",R338/(1-IF(S338&lt;&gt;"",S338,$E$3)),IF(N338="","",N338*(1+$B$3)))</f>
      </c>
    </row>
    <row r="339" spans="1:20" x14ac:dyDescent="0.25">
      <c r="A339" s="5" t="s">
        <v>658</v>
      </c>
      <c r="B339" s="5" t="s">
        <v>671</v>
      </c>
      <c r="C339" s="5" t="s">
        <v>672</v>
      </c>
      <c r="D339" s="5" t="s">
        <v>85</v>
      </c>
      <c r="E339" s="9">
        <v>6760</v>
      </c>
      <c r="F339" s="8"/>
      <c r="G339" s="8"/>
      <c r="H339" s="8"/>
      <c r="I339" s="8"/>
      <c r="J339" s="8"/>
      <c r="K339" s="10">
        <f>IF(COUNT(E339:J339)=0,"",MIN(E339:J339))</f>
      </c>
      <c r="L339" s="10">
        <f>IF(COUNT(E339:J339)=0,"",MAX(E339:J339))</f>
      </c>
      <c r="M339" s="5">
        <f>COUNT(E339:J339)</f>
      </c>
      <c r="N339" s="11">
        <f>IF(COUNT(E339:J339)=0,"",MEDIAN(E339:J339))</f>
      </c>
      <c r="O339" s="8"/>
      <c r="P339" s="12">
        <f>IF(OR(O339="",N339=""),"",1-O339/N339)</f>
      </c>
      <c r="Q339" s="5" t="s">
        <v>2</v>
      </c>
      <c r="R339" s="13"/>
      <c r="S339" s="6"/>
      <c r="T339" s="11">
        <f>IF(R339&lt;&gt;"",R339/(1-IF(S339&lt;&gt;"",S339,$E$3)),IF(N339="","",N339*(1+$B$3)))</f>
      </c>
    </row>
    <row r="340" spans="1:20" x14ac:dyDescent="0.25">
      <c r="A340" s="5" t="s">
        <v>658</v>
      </c>
      <c r="B340" s="5" t="s">
        <v>671</v>
      </c>
      <c r="C340" s="5" t="s">
        <v>673</v>
      </c>
      <c r="D340" s="5" t="s">
        <v>85</v>
      </c>
      <c r="E340" s="8"/>
      <c r="F340" s="8"/>
      <c r="G340" s="8"/>
      <c r="H340" s="9">
        <v>975.91</v>
      </c>
      <c r="I340" s="8"/>
      <c r="J340" s="8"/>
      <c r="K340" s="10">
        <f>IF(COUNT(E340:J340)=0,"",MIN(E340:J340))</f>
      </c>
      <c r="L340" s="10">
        <f>IF(COUNT(E340:J340)=0,"",MAX(E340:J340))</f>
      </c>
      <c r="M340" s="5">
        <f>COUNT(E340:J340)</f>
      </c>
      <c r="N340" s="11">
        <f>IF(COUNT(E340:J340)=0,"",MEDIAN(E340:J340))</f>
      </c>
      <c r="O340" s="8"/>
      <c r="P340" s="12">
        <f>IF(OR(O340="",N340=""),"",1-O340/N340)</f>
      </c>
      <c r="Q340" s="5" t="s">
        <v>2</v>
      </c>
      <c r="R340" s="13"/>
      <c r="S340" s="6"/>
      <c r="T340" s="11">
        <f>IF(R340&lt;&gt;"",R340/(1-IF(S340&lt;&gt;"",S340,$E$3)),IF(N340="","",N340*(1+$B$3)))</f>
      </c>
    </row>
    <row r="341" spans="1:20" x14ac:dyDescent="0.25">
      <c r="A341" s="5" t="s">
        <v>658</v>
      </c>
      <c r="B341" s="5" t="s">
        <v>674</v>
      </c>
      <c r="C341" s="5" t="s">
        <v>675</v>
      </c>
      <c r="D341" s="5" t="s">
        <v>85</v>
      </c>
      <c r="E341" s="9">
        <v>8436</v>
      </c>
      <c r="F341" s="8"/>
      <c r="G341" s="8"/>
      <c r="H341" s="8"/>
      <c r="I341" s="8"/>
      <c r="J341" s="9">
        <v>8436</v>
      </c>
      <c r="K341" s="10">
        <f>IF(COUNT(E341:J341)=0,"",MIN(E341:J341))</f>
      </c>
      <c r="L341" s="10">
        <f>IF(COUNT(E341:J341)=0,"",MAX(E341:J341))</f>
      </c>
      <c r="M341" s="5">
        <f>COUNT(E341:J341)</f>
      </c>
      <c r="N341" s="11">
        <f>IF(COUNT(E341:J341)=0,"",MEDIAN(E341:J341))</f>
      </c>
      <c r="O341" s="8"/>
      <c r="P341" s="12">
        <f>IF(OR(O341="",N341=""),"",1-O341/N341)</f>
      </c>
      <c r="Q341" s="5" t="s">
        <v>2</v>
      </c>
      <c r="R341" s="13"/>
      <c r="S341" s="6"/>
      <c r="T341" s="11">
        <f>IF(R341&lt;&gt;"",R341/(1-IF(S341&lt;&gt;"",S341,$E$3)),IF(N341="","",N341*(1+$B$3)))</f>
      </c>
    </row>
    <row r="342" spans="1:20" x14ac:dyDescent="0.25">
      <c r="A342" s="5" t="s">
        <v>658</v>
      </c>
      <c r="B342" s="5" t="s">
        <v>674</v>
      </c>
      <c r="C342" s="5" t="s">
        <v>676</v>
      </c>
      <c r="D342" s="5" t="s">
        <v>85</v>
      </c>
      <c r="E342" s="8"/>
      <c r="F342" s="8"/>
      <c r="G342" s="8"/>
      <c r="H342" s="9">
        <v>426.67</v>
      </c>
      <c r="I342" s="8"/>
      <c r="J342" s="8"/>
      <c r="K342" s="10">
        <f>IF(COUNT(E342:J342)=0,"",MIN(E342:J342))</f>
      </c>
      <c r="L342" s="10">
        <f>IF(COUNT(E342:J342)=0,"",MAX(E342:J342))</f>
      </c>
      <c r="M342" s="5">
        <f>COUNT(E342:J342)</f>
      </c>
      <c r="N342" s="11">
        <f>IF(COUNT(E342:J342)=0,"",MEDIAN(E342:J342))</f>
      </c>
      <c r="O342" s="8"/>
      <c r="P342" s="12">
        <f>IF(OR(O342="",N342=""),"",1-O342/N342)</f>
      </c>
      <c r="Q342" s="5" t="s">
        <v>2</v>
      </c>
      <c r="R342" s="13"/>
      <c r="S342" s="6"/>
      <c r="T342" s="11">
        <f>IF(R342&lt;&gt;"",R342/(1-IF(S342&lt;&gt;"",S342,$E$3)),IF(N342="","",N342*(1+$B$3)))</f>
      </c>
    </row>
    <row r="343" spans="1:20" x14ac:dyDescent="0.25">
      <c r="A343" s="5" t="s">
        <v>658</v>
      </c>
      <c r="B343" s="5" t="s">
        <v>677</v>
      </c>
      <c r="C343" s="5" t="s">
        <v>678</v>
      </c>
      <c r="D343" s="5" t="s">
        <v>85</v>
      </c>
      <c r="E343" s="9">
        <v>8800</v>
      </c>
      <c r="F343" s="8"/>
      <c r="G343" s="8"/>
      <c r="H343" s="8"/>
      <c r="I343" s="8"/>
      <c r="J343" s="8"/>
      <c r="K343" s="10">
        <f>IF(COUNT(E343:J343)=0,"",MIN(E343:J343))</f>
      </c>
      <c r="L343" s="10">
        <f>IF(COUNT(E343:J343)=0,"",MAX(E343:J343))</f>
      </c>
      <c r="M343" s="5">
        <f>COUNT(E343:J343)</f>
      </c>
      <c r="N343" s="11">
        <f>IF(COUNT(E343:J343)=0,"",MEDIAN(E343:J343))</f>
      </c>
      <c r="O343" s="8"/>
      <c r="P343" s="12">
        <f>IF(OR(O343="",N343=""),"",1-O343/N343)</f>
      </c>
      <c r="Q343" s="5" t="s">
        <v>2</v>
      </c>
      <c r="R343" s="13"/>
      <c r="S343" s="6"/>
      <c r="T343" s="11">
        <f>IF(R343&lt;&gt;"",R343/(1-IF(S343&lt;&gt;"",S343,$E$3)),IF(N343="","",N343*(1+$B$3)))</f>
      </c>
    </row>
    <row r="344" spans="1:20" x14ac:dyDescent="0.25">
      <c r="A344" s="5" t="s">
        <v>658</v>
      </c>
      <c r="B344" s="5" t="s">
        <v>677</v>
      </c>
      <c r="C344" s="5" t="s">
        <v>679</v>
      </c>
      <c r="D344" s="5" t="s">
        <v>85</v>
      </c>
      <c r="E344" s="8"/>
      <c r="F344" s="8"/>
      <c r="G344" s="8"/>
      <c r="H344" s="9">
        <v>318.33</v>
      </c>
      <c r="I344" s="8"/>
      <c r="J344" s="8"/>
      <c r="K344" s="10">
        <f>IF(COUNT(E344:J344)=0,"",MIN(E344:J344))</f>
      </c>
      <c r="L344" s="10">
        <f>IF(COUNT(E344:J344)=0,"",MAX(E344:J344))</f>
      </c>
      <c r="M344" s="5">
        <f>COUNT(E344:J344)</f>
      </c>
      <c r="N344" s="11">
        <f>IF(COUNT(E344:J344)=0,"",MEDIAN(E344:J344))</f>
      </c>
      <c r="O344" s="8"/>
      <c r="P344" s="12">
        <f>IF(OR(O344="",N344=""),"",1-O344/N344)</f>
      </c>
      <c r="Q344" s="5" t="s">
        <v>2</v>
      </c>
      <c r="R344" s="13"/>
      <c r="S344" s="6"/>
      <c r="T344" s="11">
        <f>IF(R344&lt;&gt;"",R344/(1-IF(S344&lt;&gt;"",S344,$E$3)),IF(N344="","",N344*(1+$B$3)))</f>
      </c>
    </row>
    <row r="345" spans="1:20" x14ac:dyDescent="0.25">
      <c r="A345" s="5" t="s">
        <v>658</v>
      </c>
      <c r="B345" s="5" t="s">
        <v>680</v>
      </c>
      <c r="C345" s="5" t="s">
        <v>681</v>
      </c>
      <c r="D345" s="5" t="s">
        <v>85</v>
      </c>
      <c r="E345" s="8"/>
      <c r="F345" s="8"/>
      <c r="G345" s="9">
        <v>2038.5</v>
      </c>
      <c r="H345" s="8"/>
      <c r="I345" s="8"/>
      <c r="J345" s="8"/>
      <c r="K345" s="10">
        <f>IF(COUNT(E345:J345)=0,"",MIN(E345:J345))</f>
      </c>
      <c r="L345" s="10">
        <f>IF(COUNT(E345:J345)=0,"",MAX(E345:J345))</f>
      </c>
      <c r="M345" s="5">
        <f>COUNT(E345:J345)</f>
      </c>
      <c r="N345" s="11">
        <f>IF(COUNT(E345:J345)=0,"",MEDIAN(E345:J345))</f>
      </c>
      <c r="O345" s="8"/>
      <c r="P345" s="12">
        <f>IF(OR(O345="",N345=""),"",1-O345/N345)</f>
      </c>
      <c r="Q345" s="5" t="s">
        <v>2</v>
      </c>
      <c r="R345" s="13"/>
      <c r="S345" s="6"/>
      <c r="T345" s="11">
        <f>IF(R345&lt;&gt;"",R345/(1-IF(S345&lt;&gt;"",S345,$E$3)),IF(N345="","",N345*(1+$B$3)))</f>
      </c>
    </row>
    <row r="346" spans="1:20" x14ac:dyDescent="0.25">
      <c r="A346" s="14" t="s">
        <v>682</v>
      </c>
      <c r="B346" s="14" t="s">
        <v>683</v>
      </c>
      <c r="C346" s="14" t="s">
        <v>684</v>
      </c>
      <c r="D346" s="14" t="s">
        <v>85</v>
      </c>
      <c r="E346" s="15">
        <v>200</v>
      </c>
      <c r="F346" s="18"/>
      <c r="G346" s="18"/>
      <c r="H346" s="18"/>
      <c r="I346" s="18"/>
      <c r="J346" s="15">
        <v>200</v>
      </c>
      <c r="K346" s="16">
        <f>IF(COUNT(E346:J346)=0,"",MIN(E346:J346))</f>
      </c>
      <c r="L346" s="16">
        <f>IF(COUNT(E346:J346)=0,"",MAX(E346:J346))</f>
      </c>
      <c r="M346" s="14">
        <f>COUNT(E346:J346)</f>
      </c>
      <c r="N346" s="17">
        <f>IF(COUNT(E346:J346)=0,"",MEDIAN(E346:J346))</f>
      </c>
      <c r="O346" s="18"/>
      <c r="P346" s="19">
        <f>IF(OR(O346="",N346=""),"",1-O346/N346)</f>
      </c>
      <c r="Q346" s="14" t="s">
        <v>2</v>
      </c>
      <c r="R346" s="13"/>
      <c r="S346" s="6"/>
      <c r="T346" s="11">
        <f>IF(R346&lt;&gt;"",R346/(1-IF(S346&lt;&gt;"",S346,$E$3)),IF(N346="","",N346*(1+$B$3)))</f>
      </c>
    </row>
    <row r="347" spans="1:20" x14ac:dyDescent="0.25">
      <c r="A347" s="14" t="s">
        <v>682</v>
      </c>
      <c r="B347" s="14" t="s">
        <v>685</v>
      </c>
      <c r="C347" s="14" t="s">
        <v>686</v>
      </c>
      <c r="D347" s="14" t="s">
        <v>85</v>
      </c>
      <c r="E347" s="15">
        <v>200</v>
      </c>
      <c r="F347" s="18"/>
      <c r="G347" s="18"/>
      <c r="H347" s="18"/>
      <c r="I347" s="18"/>
      <c r="J347" s="15">
        <v>200</v>
      </c>
      <c r="K347" s="16">
        <f>IF(COUNT(E347:J347)=0,"",MIN(E347:J347))</f>
      </c>
      <c r="L347" s="16">
        <f>IF(COUNT(E347:J347)=0,"",MAX(E347:J347))</f>
      </c>
      <c r="M347" s="14">
        <f>COUNT(E347:J347)</f>
      </c>
      <c r="N347" s="17">
        <f>IF(COUNT(E347:J347)=0,"",MEDIAN(E347:J347))</f>
      </c>
      <c r="O347" s="18"/>
      <c r="P347" s="19">
        <f>IF(OR(O347="",N347=""),"",1-O347/N347)</f>
      </c>
      <c r="Q347" s="14" t="s">
        <v>2</v>
      </c>
      <c r="R347" s="13"/>
      <c r="S347" s="6"/>
      <c r="T347" s="11">
        <f>IF(R347&lt;&gt;"",R347/(1-IF(S347&lt;&gt;"",S347,$E$3)),IF(N347="","",N347*(1+$B$3)))</f>
      </c>
    </row>
    <row r="348" spans="1:20" x14ac:dyDescent="0.25">
      <c r="A348" s="14" t="s">
        <v>682</v>
      </c>
      <c r="B348" s="14" t="s">
        <v>687</v>
      </c>
      <c r="C348" s="14" t="s">
        <v>688</v>
      </c>
      <c r="D348" s="14" t="s">
        <v>85</v>
      </c>
      <c r="E348" s="15">
        <v>718.67</v>
      </c>
      <c r="F348" s="18"/>
      <c r="G348" s="18"/>
      <c r="H348" s="18"/>
      <c r="I348" s="18"/>
      <c r="J348" s="15">
        <v>718.67</v>
      </c>
      <c r="K348" s="16">
        <f>IF(COUNT(E348:J348)=0,"",MIN(E348:J348))</f>
      </c>
      <c r="L348" s="16">
        <f>IF(COUNT(E348:J348)=0,"",MAX(E348:J348))</f>
      </c>
      <c r="M348" s="14">
        <f>COUNT(E348:J348)</f>
      </c>
      <c r="N348" s="17">
        <f>IF(COUNT(E348:J348)=0,"",MEDIAN(E348:J348))</f>
      </c>
      <c r="O348" s="18"/>
      <c r="P348" s="19">
        <f>IF(OR(O348="",N348=""),"",1-O348/N348)</f>
      </c>
      <c r="Q348" s="14" t="s">
        <v>2</v>
      </c>
      <c r="R348" s="13"/>
      <c r="S348" s="6"/>
      <c r="T348" s="11">
        <f>IF(R348&lt;&gt;"",R348/(1-IF(S348&lt;&gt;"",S348,$E$3)),IF(N348="","",N348*(1+$B$3)))</f>
      </c>
    </row>
    <row r="349" spans="1:20" x14ac:dyDescent="0.25">
      <c r="A349" s="14" t="s">
        <v>682</v>
      </c>
      <c r="B349" s="14" t="s">
        <v>689</v>
      </c>
      <c r="C349" s="14" t="s">
        <v>665</v>
      </c>
      <c r="D349" s="14" t="s">
        <v>85</v>
      </c>
      <c r="E349" s="15">
        <v>289.09</v>
      </c>
      <c r="F349" s="18"/>
      <c r="G349" s="18"/>
      <c r="H349" s="18"/>
      <c r="I349" s="18"/>
      <c r="J349" s="15">
        <v>289.09</v>
      </c>
      <c r="K349" s="16">
        <f>IF(COUNT(E349:J349)=0,"",MIN(E349:J349))</f>
      </c>
      <c r="L349" s="16">
        <f>IF(COUNT(E349:J349)=0,"",MAX(E349:J349))</f>
      </c>
      <c r="M349" s="14">
        <f>COUNT(E349:J349)</f>
      </c>
      <c r="N349" s="17">
        <f>IF(COUNT(E349:J349)=0,"",MEDIAN(E349:J349))</f>
      </c>
      <c r="O349" s="18"/>
      <c r="P349" s="19">
        <f>IF(OR(O349="",N349=""),"",1-O349/N349)</f>
      </c>
      <c r="Q349" s="14" t="s">
        <v>2</v>
      </c>
      <c r="R349" s="13"/>
      <c r="S349" s="6"/>
      <c r="T349" s="11">
        <f>IF(R349&lt;&gt;"",R349/(1-IF(S349&lt;&gt;"",S349,$E$3)),IF(N349="","",N349*(1+$B$3)))</f>
      </c>
    </row>
    <row r="350" spans="1:20" x14ac:dyDescent="0.25">
      <c r="A350" s="14" t="s">
        <v>682</v>
      </c>
      <c r="B350" s="14" t="s">
        <v>690</v>
      </c>
      <c r="C350" s="14" t="s">
        <v>679</v>
      </c>
      <c r="D350" s="14" t="s">
        <v>85</v>
      </c>
      <c r="E350" s="15">
        <v>211.41</v>
      </c>
      <c r="F350" s="18"/>
      <c r="G350" s="18"/>
      <c r="H350" s="18"/>
      <c r="I350" s="18"/>
      <c r="J350" s="15">
        <v>211.41</v>
      </c>
      <c r="K350" s="16">
        <f>IF(COUNT(E350:J350)=0,"",MIN(E350:J350))</f>
      </c>
      <c r="L350" s="16">
        <f>IF(COUNT(E350:J350)=0,"",MAX(E350:J350))</f>
      </c>
      <c r="M350" s="14">
        <f>COUNT(E350:J350)</f>
      </c>
      <c r="N350" s="17">
        <f>IF(COUNT(E350:J350)=0,"",MEDIAN(E350:J350))</f>
      </c>
      <c r="O350" s="18"/>
      <c r="P350" s="19">
        <f>IF(OR(O350="",N350=""),"",1-O350/N350)</f>
      </c>
      <c r="Q350" s="14" t="s">
        <v>2</v>
      </c>
      <c r="R350" s="13"/>
      <c r="S350" s="6"/>
      <c r="T350" s="11">
        <f>IF(R350&lt;&gt;"",R350/(1-IF(S350&lt;&gt;"",S350,$E$3)),IF(N350="","",N350*(1+$B$3)))</f>
      </c>
    </row>
    <row r="351" spans="1:20" x14ac:dyDescent="0.25">
      <c r="A351" s="14" t="s">
        <v>682</v>
      </c>
      <c r="B351" s="14" t="s">
        <v>691</v>
      </c>
      <c r="C351" s="14" t="s">
        <v>692</v>
      </c>
      <c r="D351" s="14" t="s">
        <v>85</v>
      </c>
      <c r="E351" s="15">
        <v>990</v>
      </c>
      <c r="F351" s="18"/>
      <c r="G351" s="18"/>
      <c r="H351" s="18"/>
      <c r="I351" s="18"/>
      <c r="J351" s="15">
        <v>990</v>
      </c>
      <c r="K351" s="16">
        <f>IF(COUNT(E351:J351)=0,"",MIN(E351:J351))</f>
      </c>
      <c r="L351" s="16">
        <f>IF(COUNT(E351:J351)=0,"",MAX(E351:J351))</f>
      </c>
      <c r="M351" s="14">
        <f>COUNT(E351:J351)</f>
      </c>
      <c r="N351" s="17">
        <f>IF(COUNT(E351:J351)=0,"",MEDIAN(E351:J351))</f>
      </c>
      <c r="O351" s="18"/>
      <c r="P351" s="19">
        <f>IF(OR(O351="",N351=""),"",1-O351/N351)</f>
      </c>
      <c r="Q351" s="14" t="s">
        <v>2</v>
      </c>
      <c r="R351" s="13"/>
      <c r="S351" s="6"/>
      <c r="T351" s="11">
        <f>IF(R351&lt;&gt;"",R351/(1-IF(S351&lt;&gt;"",S351,$E$3)),IF(N351="","",N351*(1+$B$3)))</f>
      </c>
    </row>
    <row r="352" spans="1:20" x14ac:dyDescent="0.25">
      <c r="A352" s="14" t="s">
        <v>682</v>
      </c>
      <c r="B352" s="14" t="s">
        <v>693</v>
      </c>
      <c r="C352" s="14" t="s">
        <v>694</v>
      </c>
      <c r="D352" s="14" t="s">
        <v>85</v>
      </c>
      <c r="E352" s="15">
        <v>186.25</v>
      </c>
      <c r="F352" s="18"/>
      <c r="G352" s="18"/>
      <c r="H352" s="18"/>
      <c r="I352" s="18"/>
      <c r="J352" s="15">
        <v>186.25</v>
      </c>
      <c r="K352" s="16">
        <f>IF(COUNT(E352:J352)=0,"",MIN(E352:J352))</f>
      </c>
      <c r="L352" s="16">
        <f>IF(COUNT(E352:J352)=0,"",MAX(E352:J352))</f>
      </c>
      <c r="M352" s="14">
        <f>COUNT(E352:J352)</f>
      </c>
      <c r="N352" s="17">
        <f>IF(COUNT(E352:J352)=0,"",MEDIAN(E352:J352))</f>
      </c>
      <c r="O352" s="18"/>
      <c r="P352" s="19">
        <f>IF(OR(O352="",N352=""),"",1-O352/N352)</f>
      </c>
      <c r="Q352" s="14" t="s">
        <v>2</v>
      </c>
      <c r="R352" s="13"/>
      <c r="S352" s="6"/>
      <c r="T352" s="11">
        <f>IF(R352&lt;&gt;"",R352/(1-IF(S352&lt;&gt;"",S352,$E$3)),IF(N352="","",N352*(1+$B$3)))</f>
      </c>
    </row>
    <row r="353" spans="1:20" x14ac:dyDescent="0.25">
      <c r="A353" s="14" t="s">
        <v>682</v>
      </c>
      <c r="B353" s="14" t="s">
        <v>695</v>
      </c>
      <c r="C353" s="14" t="s">
        <v>696</v>
      </c>
      <c r="D353" s="14" t="s">
        <v>85</v>
      </c>
      <c r="E353" s="15">
        <v>1756.25</v>
      </c>
      <c r="F353" s="18"/>
      <c r="G353" s="18"/>
      <c r="H353" s="18"/>
      <c r="I353" s="18"/>
      <c r="J353" s="18"/>
      <c r="K353" s="16">
        <f>IF(COUNT(E353:J353)=0,"",MIN(E353:J353))</f>
      </c>
      <c r="L353" s="16">
        <f>IF(COUNT(E353:J353)=0,"",MAX(E353:J353))</f>
      </c>
      <c r="M353" s="14">
        <f>COUNT(E353:J353)</f>
      </c>
      <c r="N353" s="17">
        <f>IF(COUNT(E353:J353)=0,"",MEDIAN(E353:J353))</f>
      </c>
      <c r="O353" s="18"/>
      <c r="P353" s="19">
        <f>IF(OR(O353="",N353=""),"",1-O353/N353)</f>
      </c>
      <c r="Q353" s="14" t="s">
        <v>2</v>
      </c>
      <c r="R353" s="13"/>
      <c r="S353" s="6"/>
      <c r="T353" s="11">
        <f>IF(R353&lt;&gt;"",R353/(1-IF(S353&lt;&gt;"",S353,$E$3)),IF(N353="","",N353*(1+$B$3)))</f>
      </c>
    </row>
    <row r="354" spans="1:20" x14ac:dyDescent="0.25">
      <c r="A354" s="14" t="s">
        <v>682</v>
      </c>
      <c r="B354" s="14" t="s">
        <v>697</v>
      </c>
      <c r="C354" s="14" t="s">
        <v>698</v>
      </c>
      <c r="D354" s="14" t="s">
        <v>85</v>
      </c>
      <c r="E354" s="15">
        <v>290</v>
      </c>
      <c r="F354" s="18"/>
      <c r="G354" s="18"/>
      <c r="H354" s="18"/>
      <c r="I354" s="18"/>
      <c r="J354" s="18"/>
      <c r="K354" s="16">
        <f>IF(COUNT(E354:J354)=0,"",MIN(E354:J354))</f>
      </c>
      <c r="L354" s="16">
        <f>IF(COUNT(E354:J354)=0,"",MAX(E354:J354))</f>
      </c>
      <c r="M354" s="14">
        <f>COUNT(E354:J354)</f>
      </c>
      <c r="N354" s="17">
        <f>IF(COUNT(E354:J354)=0,"",MEDIAN(E354:J354))</f>
      </c>
      <c r="O354" s="18"/>
      <c r="P354" s="19">
        <f>IF(OR(O354="",N354=""),"",1-O354/N354)</f>
      </c>
      <c r="Q354" s="14" t="s">
        <v>2</v>
      </c>
      <c r="R354" s="13"/>
      <c r="S354" s="6"/>
      <c r="T354" s="11">
        <f>IF(R354&lt;&gt;"",R354/(1-IF(S354&lt;&gt;"",S354,$E$3)),IF(N354="","",N354*(1+$B$3)))</f>
      </c>
    </row>
    <row r="355" spans="1:20" x14ac:dyDescent="0.25">
      <c r="A355" s="14" t="s">
        <v>682</v>
      </c>
      <c r="B355" s="14" t="s">
        <v>699</v>
      </c>
      <c r="C355" s="14" t="s">
        <v>686</v>
      </c>
      <c r="D355" s="14" t="s">
        <v>85</v>
      </c>
      <c r="E355" s="15">
        <v>420</v>
      </c>
      <c r="F355" s="18"/>
      <c r="G355" s="18"/>
      <c r="H355" s="18"/>
      <c r="I355" s="18"/>
      <c r="J355" s="18"/>
      <c r="K355" s="16">
        <f>IF(COUNT(E355:J355)=0,"",MIN(E355:J355))</f>
      </c>
      <c r="L355" s="16">
        <f>IF(COUNT(E355:J355)=0,"",MAX(E355:J355))</f>
      </c>
      <c r="M355" s="14">
        <f>COUNT(E355:J355)</f>
      </c>
      <c r="N355" s="17">
        <f>IF(COUNT(E355:J355)=0,"",MEDIAN(E355:J355))</f>
      </c>
      <c r="O355" s="18"/>
      <c r="P355" s="19">
        <f>IF(OR(O355="",N355=""),"",1-O355/N355)</f>
      </c>
      <c r="Q355" s="14" t="s">
        <v>2</v>
      </c>
      <c r="R355" s="13"/>
      <c r="S355" s="6"/>
      <c r="T355" s="11">
        <f>IF(R355&lt;&gt;"",R355/(1-IF(S355&lt;&gt;"",S355,$E$3)),IF(N355="","",N355*(1+$B$3)))</f>
      </c>
    </row>
    <row r="356" spans="1:20" x14ac:dyDescent="0.25">
      <c r="A356" s="14" t="s">
        <v>682</v>
      </c>
      <c r="B356" s="14" t="s">
        <v>700</v>
      </c>
      <c r="C356" s="14" t="s">
        <v>701</v>
      </c>
      <c r="D356" s="14" t="s">
        <v>85</v>
      </c>
      <c r="E356" s="15">
        <v>1328.13</v>
      </c>
      <c r="F356" s="18"/>
      <c r="G356" s="18"/>
      <c r="H356" s="18"/>
      <c r="I356" s="18"/>
      <c r="J356" s="18"/>
      <c r="K356" s="16">
        <f>IF(COUNT(E356:J356)=0,"",MIN(E356:J356))</f>
      </c>
      <c r="L356" s="16">
        <f>IF(COUNT(E356:J356)=0,"",MAX(E356:J356))</f>
      </c>
      <c r="M356" s="14">
        <f>COUNT(E356:J356)</f>
      </c>
      <c r="N356" s="17">
        <f>IF(COUNT(E356:J356)=0,"",MEDIAN(E356:J356))</f>
      </c>
      <c r="O356" s="18"/>
      <c r="P356" s="19">
        <f>IF(OR(O356="",N356=""),"",1-O356/N356)</f>
      </c>
      <c r="Q356" s="14" t="s">
        <v>2</v>
      </c>
      <c r="R356" s="13"/>
      <c r="S356" s="6"/>
      <c r="T356" s="11">
        <f>IF(R356&lt;&gt;"",R356/(1-IF(S356&lt;&gt;"",S356,$E$3)),IF(N356="","",N356*(1+$B$3)))</f>
      </c>
    </row>
    <row r="357" spans="1:20" x14ac:dyDescent="0.25">
      <c r="A357" s="14" t="s">
        <v>682</v>
      </c>
      <c r="B357" s="14" t="s">
        <v>702</v>
      </c>
      <c r="C357" s="14" t="s">
        <v>665</v>
      </c>
      <c r="D357" s="14" t="s">
        <v>85</v>
      </c>
      <c r="E357" s="15">
        <v>201.05</v>
      </c>
      <c r="F357" s="18"/>
      <c r="G357" s="18"/>
      <c r="H357" s="18"/>
      <c r="I357" s="18"/>
      <c r="J357" s="18"/>
      <c r="K357" s="16">
        <f>IF(COUNT(E357:J357)=0,"",MIN(E357:J357))</f>
      </c>
      <c r="L357" s="16">
        <f>IF(COUNT(E357:J357)=0,"",MAX(E357:J357))</f>
      </c>
      <c r="M357" s="14">
        <f>COUNT(E357:J357)</f>
      </c>
      <c r="N357" s="17">
        <f>IF(COUNT(E357:J357)=0,"",MEDIAN(E357:J357))</f>
      </c>
      <c r="O357" s="18"/>
      <c r="P357" s="19">
        <f>IF(OR(O357="",N357=""),"",1-O357/N357)</f>
      </c>
      <c r="Q357" s="14" t="s">
        <v>2</v>
      </c>
      <c r="R357" s="13"/>
      <c r="S357" s="6"/>
      <c r="T357" s="11">
        <f>IF(R357&lt;&gt;"",R357/(1-IF(S357&lt;&gt;"",S357,$E$3)),IF(N357="","",N357*(1+$B$3)))</f>
      </c>
    </row>
    <row r="358" spans="1:20" x14ac:dyDescent="0.25">
      <c r="A358" s="14" t="s">
        <v>682</v>
      </c>
      <c r="B358" s="14" t="s">
        <v>703</v>
      </c>
      <c r="C358" s="14" t="s">
        <v>679</v>
      </c>
      <c r="D358" s="14" t="s">
        <v>85</v>
      </c>
      <c r="E358" s="15">
        <v>315.67</v>
      </c>
      <c r="F358" s="18"/>
      <c r="G358" s="18"/>
      <c r="H358" s="18"/>
      <c r="I358" s="18"/>
      <c r="J358" s="18"/>
      <c r="K358" s="16">
        <f>IF(COUNT(E358:J358)=0,"",MIN(E358:J358))</f>
      </c>
      <c r="L358" s="16">
        <f>IF(COUNT(E358:J358)=0,"",MAX(E358:J358))</f>
      </c>
      <c r="M358" s="14">
        <f>COUNT(E358:J358)</f>
      </c>
      <c r="N358" s="17">
        <f>IF(COUNT(E358:J358)=0,"",MEDIAN(E358:J358))</f>
      </c>
      <c r="O358" s="18"/>
      <c r="P358" s="19">
        <f>IF(OR(O358="",N358=""),"",1-O358/N358)</f>
      </c>
      <c r="Q358" s="14" t="s">
        <v>2</v>
      </c>
      <c r="R358" s="13"/>
      <c r="S358" s="6"/>
      <c r="T358" s="11">
        <f>IF(R358&lt;&gt;"",R358/(1-IF(S358&lt;&gt;"",S358,$E$3)),IF(N358="","",N358*(1+$B$3)))</f>
      </c>
    </row>
    <row r="359" spans="1:20" x14ac:dyDescent="0.25">
      <c r="A359" s="14" t="s">
        <v>682</v>
      </c>
      <c r="B359" s="14" t="s">
        <v>704</v>
      </c>
      <c r="C359" s="14" t="s">
        <v>705</v>
      </c>
      <c r="D359" s="14" t="s">
        <v>85</v>
      </c>
      <c r="E359" s="15">
        <v>1060</v>
      </c>
      <c r="F359" s="18"/>
      <c r="G359" s="18"/>
      <c r="H359" s="18"/>
      <c r="I359" s="18"/>
      <c r="J359" s="18"/>
      <c r="K359" s="16">
        <f>IF(COUNT(E359:J359)=0,"",MIN(E359:J359))</f>
      </c>
      <c r="L359" s="16">
        <f>IF(COUNT(E359:J359)=0,"",MAX(E359:J359))</f>
      </c>
      <c r="M359" s="14">
        <f>COUNT(E359:J359)</f>
      </c>
      <c r="N359" s="17">
        <f>IF(COUNT(E359:J359)=0,"",MEDIAN(E359:J359))</f>
      </c>
      <c r="O359" s="18"/>
      <c r="P359" s="19">
        <f>IF(OR(O359="",N359=""),"",1-O359/N359)</f>
      </c>
      <c r="Q359" s="14" t="s">
        <v>2</v>
      </c>
      <c r="R359" s="13"/>
      <c r="S359" s="6"/>
      <c r="T359" s="11">
        <f>IF(R359&lt;&gt;"",R359/(1-IF(S359&lt;&gt;"",S359,$E$3)),IF(N359="","",N359*(1+$B$3)))</f>
      </c>
    </row>
    <row r="360" spans="1:20" x14ac:dyDescent="0.25">
      <c r="A360" s="14" t="s">
        <v>682</v>
      </c>
      <c r="B360" s="14" t="s">
        <v>706</v>
      </c>
      <c r="C360" s="14" t="s">
        <v>694</v>
      </c>
      <c r="D360" s="14" t="s">
        <v>85</v>
      </c>
      <c r="E360" s="15">
        <v>186.25</v>
      </c>
      <c r="F360" s="18"/>
      <c r="G360" s="18"/>
      <c r="H360" s="18"/>
      <c r="I360" s="18"/>
      <c r="J360" s="18"/>
      <c r="K360" s="16">
        <f>IF(COUNT(E360:J360)=0,"",MIN(E360:J360))</f>
      </c>
      <c r="L360" s="16">
        <f>IF(COUNT(E360:J360)=0,"",MAX(E360:J360))</f>
      </c>
      <c r="M360" s="14">
        <f>COUNT(E360:J360)</f>
      </c>
      <c r="N360" s="17">
        <f>IF(COUNT(E360:J360)=0,"",MEDIAN(E360:J360))</f>
      </c>
      <c r="O360" s="18"/>
      <c r="P360" s="19">
        <f>IF(OR(O360="",N360=""),"",1-O360/N360)</f>
      </c>
      <c r="Q360" s="14" t="s">
        <v>2</v>
      </c>
      <c r="R360" s="13"/>
      <c r="S360" s="6"/>
      <c r="T360" s="11">
        <f>IF(R360&lt;&gt;"",R360/(1-IF(S360&lt;&gt;"",S360,$E$3)),IF(N360="","",N360*(1+$B$3)))</f>
      </c>
    </row>
    <row r="361" spans="1:20" x14ac:dyDescent="0.25">
      <c r="A361" s="5" t="s">
        <v>707</v>
      </c>
      <c r="B361" s="5" t="s">
        <v>708</v>
      </c>
      <c r="C361" s="5" t="s">
        <v>709</v>
      </c>
      <c r="D361" s="5" t="s">
        <v>710</v>
      </c>
      <c r="E361" s="8"/>
      <c r="F361" s="9">
        <v>105</v>
      </c>
      <c r="G361" s="9">
        <v>105</v>
      </c>
      <c r="H361" s="8"/>
      <c r="I361" s="8"/>
      <c r="J361" s="8"/>
      <c r="K361" s="10">
        <f>IF(COUNT(E361:J361)=0,"",MIN(E361:J361))</f>
      </c>
      <c r="L361" s="10">
        <f>IF(COUNT(E361:J361)=0,"",MAX(E361:J361))</f>
      </c>
      <c r="M361" s="5">
        <f>COUNT(E361:J361)</f>
      </c>
      <c r="N361" s="11">
        <f>IF(COUNT(E361:J361)=0,"",MEDIAN(E361:J361))</f>
      </c>
      <c r="O361" s="8"/>
      <c r="P361" s="12">
        <f>IF(OR(O361="",N361=""),"",1-O361/N361)</f>
      </c>
      <c r="Q361" s="5" t="s">
        <v>2</v>
      </c>
      <c r="R361" s="13"/>
      <c r="S361" s="6"/>
      <c r="T361" s="11">
        <f>IF(R361&lt;&gt;"",R361/(1-IF(S361&lt;&gt;"",S361,$E$3)),IF(N361="","",N361*(1+$B$3)))</f>
      </c>
    </row>
    <row r="362" spans="1:20" x14ac:dyDescent="0.25">
      <c r="A362" s="5" t="s">
        <v>707</v>
      </c>
      <c r="B362" s="5" t="s">
        <v>708</v>
      </c>
      <c r="C362" s="5" t="s">
        <v>711</v>
      </c>
      <c r="D362" s="5" t="s">
        <v>85</v>
      </c>
      <c r="E362" s="8"/>
      <c r="F362" s="8"/>
      <c r="G362" s="8"/>
      <c r="H362" s="9">
        <v>3120</v>
      </c>
      <c r="I362" s="8"/>
      <c r="J362" s="8"/>
      <c r="K362" s="10">
        <f>IF(COUNT(E362:J362)=0,"",MIN(E362:J362))</f>
      </c>
      <c r="L362" s="10">
        <f>IF(COUNT(E362:J362)=0,"",MAX(E362:J362))</f>
      </c>
      <c r="M362" s="5">
        <f>COUNT(E362:J362)</f>
      </c>
      <c r="N362" s="11">
        <f>IF(COUNT(E362:J362)=0,"",MEDIAN(E362:J362))</f>
      </c>
      <c r="O362" s="8"/>
      <c r="P362" s="12">
        <f>IF(OR(O362="",N362=""),"",1-O362/N362)</f>
      </c>
      <c r="Q362" s="5" t="s">
        <v>2</v>
      </c>
      <c r="R362" s="13"/>
      <c r="S362" s="6"/>
      <c r="T362" s="11">
        <f>IF(R362&lt;&gt;"",R362/(1-IF(S362&lt;&gt;"",S362,$E$3)),IF(N362="","",N362*(1+$B$3)))</f>
      </c>
    </row>
    <row r="363" spans="1:20" x14ac:dyDescent="0.25">
      <c r="A363" s="5" t="s">
        <v>707</v>
      </c>
      <c r="B363" s="5" t="s">
        <v>712</v>
      </c>
      <c r="C363" s="5" t="s">
        <v>713</v>
      </c>
      <c r="D363" s="5" t="s">
        <v>155</v>
      </c>
      <c r="E363" s="9">
        <v>5</v>
      </c>
      <c r="F363" s="9">
        <v>5</v>
      </c>
      <c r="G363" s="9">
        <v>5</v>
      </c>
      <c r="H363" s="9">
        <v>5</v>
      </c>
      <c r="I363" s="9">
        <v>5</v>
      </c>
      <c r="J363" s="9">
        <v>5</v>
      </c>
      <c r="K363" s="10">
        <f>IF(COUNT(E363:J363)=0,"",MIN(E363:J363))</f>
      </c>
      <c r="L363" s="10">
        <f>IF(COUNT(E363:J363)=0,"",MAX(E363:J363))</f>
      </c>
      <c r="M363" s="5">
        <f>COUNT(E363:J363)</f>
      </c>
      <c r="N363" s="11">
        <f>IF(COUNT(E363:J363)=0,"",MEDIAN(E363:J363))</f>
      </c>
      <c r="O363" s="8"/>
      <c r="P363" s="12">
        <f>IF(OR(O363="",N363=""),"",1-O363/N363)</f>
      </c>
      <c r="Q363" s="5" t="s">
        <v>2</v>
      </c>
      <c r="R363" s="13"/>
      <c r="S363" s="6"/>
      <c r="T363" s="11">
        <f>IF(R363&lt;&gt;"",R363/(1-IF(S363&lt;&gt;"",S363,$E$3)),IF(N363="","",N363*(1+$B$3)))</f>
      </c>
    </row>
    <row r="364" spans="1:20" x14ac:dyDescent="0.25">
      <c r="A364" s="5" t="s">
        <v>707</v>
      </c>
      <c r="B364" s="5" t="s">
        <v>714</v>
      </c>
      <c r="C364" s="5" t="s">
        <v>715</v>
      </c>
      <c r="D364" s="5" t="s">
        <v>85</v>
      </c>
      <c r="E364" s="8"/>
      <c r="F364" s="8"/>
      <c r="G364" s="8"/>
      <c r="H364" s="8"/>
      <c r="I364" s="8"/>
      <c r="J364" s="9">
        <v>4952.5</v>
      </c>
      <c r="K364" s="10">
        <f>IF(COUNT(E364:J364)=0,"",MIN(E364:J364))</f>
      </c>
      <c r="L364" s="10">
        <f>IF(COUNT(E364:J364)=0,"",MAX(E364:J364))</f>
      </c>
      <c r="M364" s="5">
        <f>COUNT(E364:J364)</f>
      </c>
      <c r="N364" s="11">
        <f>IF(COUNT(E364:J364)=0,"",MEDIAN(E364:J364))</f>
      </c>
      <c r="O364" s="8"/>
      <c r="P364" s="12">
        <f>IF(OR(O364="",N364=""),"",1-O364/N364)</f>
      </c>
      <c r="Q364" s="5" t="s">
        <v>2</v>
      </c>
      <c r="R364" s="13"/>
      <c r="S364" s="6"/>
      <c r="T364" s="11">
        <f>IF(R364&lt;&gt;"",R364/(1-IF(S364&lt;&gt;"",S364,$E$3)),IF(N364="","",N364*(1+$B$3)))</f>
      </c>
    </row>
    <row r="365" spans="1:20" x14ac:dyDescent="0.25">
      <c r="A365" s="5" t="s">
        <v>707</v>
      </c>
      <c r="B365" s="5" t="s">
        <v>716</v>
      </c>
      <c r="C365" s="5" t="s">
        <v>717</v>
      </c>
      <c r="D365" s="5" t="s">
        <v>85</v>
      </c>
      <c r="E365" s="9">
        <v>50</v>
      </c>
      <c r="F365" s="9">
        <v>50</v>
      </c>
      <c r="G365" s="9">
        <v>50</v>
      </c>
      <c r="H365" s="9">
        <v>50</v>
      </c>
      <c r="I365" s="9">
        <v>50</v>
      </c>
      <c r="J365" s="8"/>
      <c r="K365" s="10">
        <f>IF(COUNT(E365:J365)=0,"",MIN(E365:J365))</f>
      </c>
      <c r="L365" s="10">
        <f>IF(COUNT(E365:J365)=0,"",MAX(E365:J365))</f>
      </c>
      <c r="M365" s="5">
        <f>COUNT(E365:J365)</f>
      </c>
      <c r="N365" s="11">
        <f>IF(COUNT(E365:J365)=0,"",MEDIAN(E365:J365))</f>
      </c>
      <c r="O365" s="8"/>
      <c r="P365" s="12">
        <f>IF(OR(O365="",N365=""),"",1-O365/N365)</f>
      </c>
      <c r="Q365" s="5" t="s">
        <v>2</v>
      </c>
      <c r="R365" s="13"/>
      <c r="S365" s="6"/>
      <c r="T365" s="11">
        <f>IF(R365&lt;&gt;"",R365/(1-IF(S365&lt;&gt;"",S365,$E$3)),IF(N365="","",N365*(1+$B$3)))</f>
      </c>
    </row>
    <row r="366" spans="1:20" x14ac:dyDescent="0.25">
      <c r="A366" s="5" t="s">
        <v>707</v>
      </c>
      <c r="B366" s="5" t="s">
        <v>718</v>
      </c>
      <c r="C366" s="5" t="s">
        <v>719</v>
      </c>
      <c r="D366" s="5" t="s">
        <v>85</v>
      </c>
      <c r="E366" s="9">
        <v>35</v>
      </c>
      <c r="F366" s="9">
        <v>35</v>
      </c>
      <c r="G366" s="9">
        <v>35</v>
      </c>
      <c r="H366" s="9">
        <v>35</v>
      </c>
      <c r="I366" s="9">
        <v>35</v>
      </c>
      <c r="J366" s="8"/>
      <c r="K366" s="10">
        <f>IF(COUNT(E366:J366)=0,"",MIN(E366:J366))</f>
      </c>
      <c r="L366" s="10">
        <f>IF(COUNT(E366:J366)=0,"",MAX(E366:J366))</f>
      </c>
      <c r="M366" s="5">
        <f>COUNT(E366:J366)</f>
      </c>
      <c r="N366" s="11">
        <f>IF(COUNT(E366:J366)=0,"",MEDIAN(E366:J366))</f>
      </c>
      <c r="O366" s="8"/>
      <c r="P366" s="12">
        <f>IF(OR(O366="",N366=""),"",1-O366/N366)</f>
      </c>
      <c r="Q366" s="5" t="s">
        <v>2</v>
      </c>
      <c r="R366" s="13"/>
      <c r="S366" s="6"/>
      <c r="T366" s="11">
        <f>IF(R366&lt;&gt;"",R366/(1-IF(S366&lt;&gt;"",S366,$E$3)),IF(N366="","",N366*(1+$B$3)))</f>
      </c>
    </row>
    <row r="367" spans="1:20" x14ac:dyDescent="0.25">
      <c r="A367" s="5" t="s">
        <v>707</v>
      </c>
      <c r="B367" s="5" t="s">
        <v>720</v>
      </c>
      <c r="C367" s="5" t="s">
        <v>721</v>
      </c>
      <c r="D367" s="5" t="s">
        <v>710</v>
      </c>
      <c r="E367" s="9">
        <v>30</v>
      </c>
      <c r="F367" s="9">
        <v>30</v>
      </c>
      <c r="G367" s="9">
        <v>30</v>
      </c>
      <c r="H367" s="9">
        <v>30</v>
      </c>
      <c r="I367" s="9">
        <v>30</v>
      </c>
      <c r="J367" s="8"/>
      <c r="K367" s="10">
        <f>IF(COUNT(E367:J367)=0,"",MIN(E367:J367))</f>
      </c>
      <c r="L367" s="10">
        <f>IF(COUNT(E367:J367)=0,"",MAX(E367:J367))</f>
      </c>
      <c r="M367" s="5">
        <f>COUNT(E367:J367)</f>
      </c>
      <c r="N367" s="11">
        <f>IF(COUNT(E367:J367)=0,"",MEDIAN(E367:J367))</f>
      </c>
      <c r="O367" s="8"/>
      <c r="P367" s="12">
        <f>IF(OR(O367="",N367=""),"",1-O367/N367)</f>
      </c>
      <c r="Q367" s="5" t="s">
        <v>2</v>
      </c>
      <c r="R367" s="13"/>
      <c r="S367" s="6"/>
      <c r="T367" s="11">
        <f>IF(R367&lt;&gt;"",R367/(1-IF(S367&lt;&gt;"",S367,$E$3)),IF(N367="","",N367*(1+$B$3)))</f>
      </c>
    </row>
    <row r="368" spans="1:20" x14ac:dyDescent="0.25">
      <c r="A368" s="5" t="s">
        <v>707</v>
      </c>
      <c r="B368" s="5" t="s">
        <v>722</v>
      </c>
      <c r="C368" s="5" t="s">
        <v>723</v>
      </c>
      <c r="D368" s="5" t="s">
        <v>724</v>
      </c>
      <c r="E368" s="9">
        <v>0.5</v>
      </c>
      <c r="F368" s="9">
        <v>0.5</v>
      </c>
      <c r="G368" s="9">
        <v>0.5</v>
      </c>
      <c r="H368" s="9">
        <v>0.5</v>
      </c>
      <c r="I368" s="9">
        <v>0.5</v>
      </c>
      <c r="J368" s="8"/>
      <c r="K368" s="10">
        <f>IF(COUNT(E368:J368)=0,"",MIN(E368:J368))</f>
      </c>
      <c r="L368" s="10">
        <f>IF(COUNT(E368:J368)=0,"",MAX(E368:J368))</f>
      </c>
      <c r="M368" s="5">
        <f>COUNT(E368:J368)</f>
      </c>
      <c r="N368" s="11">
        <f>IF(COUNT(E368:J368)=0,"",MEDIAN(E368:J368))</f>
      </c>
      <c r="O368" s="8"/>
      <c r="P368" s="12">
        <f>IF(OR(O368="",N368=""),"",1-O368/N368)</f>
      </c>
      <c r="Q368" s="5" t="s">
        <v>2</v>
      </c>
      <c r="R368" s="13"/>
      <c r="S368" s="6"/>
      <c r="T368" s="11">
        <f>IF(R368&lt;&gt;"",R368/(1-IF(S368&lt;&gt;"",S368,$E$3)),IF(N368="","",N368*(1+$B$3)))</f>
      </c>
    </row>
    <row r="369" spans="1:20" x14ac:dyDescent="0.25">
      <c r="A369" s="5" t="s">
        <v>707</v>
      </c>
      <c r="B369" s="5" t="s">
        <v>725</v>
      </c>
      <c r="C369" s="5" t="s">
        <v>726</v>
      </c>
      <c r="D369" s="5" t="s">
        <v>85</v>
      </c>
      <c r="E369" s="8"/>
      <c r="F369" s="9">
        <v>4600</v>
      </c>
      <c r="G369" s="9">
        <v>4400</v>
      </c>
      <c r="H369" s="8"/>
      <c r="I369" s="8"/>
      <c r="J369" s="8"/>
      <c r="K369" s="10">
        <f>IF(COUNT(E369:J369)=0,"",MIN(E369:J369))</f>
      </c>
      <c r="L369" s="10">
        <f>IF(COUNT(E369:J369)=0,"",MAX(E369:J369))</f>
      </c>
      <c r="M369" s="5">
        <f>COUNT(E369:J369)</f>
      </c>
      <c r="N369" s="11">
        <f>IF(COUNT(E369:J369)=0,"",MEDIAN(E369:J369))</f>
      </c>
      <c r="O369" s="8"/>
      <c r="P369" s="12">
        <f>IF(OR(O369="",N369=""),"",1-O369/N369)</f>
      </c>
      <c r="Q369" s="5" t="s">
        <v>2</v>
      </c>
      <c r="R369" s="13"/>
      <c r="S369" s="6"/>
      <c r="T369" s="11">
        <f>IF(R369&lt;&gt;"",R369/(1-IF(S369&lt;&gt;"",S369,$E$3)),IF(N369="","",N369*(1+$B$3)))</f>
      </c>
    </row>
    <row r="370" spans="1:20" x14ac:dyDescent="0.25">
      <c r="A370" s="5" t="s">
        <v>707</v>
      </c>
      <c r="B370" s="5" t="s">
        <v>725</v>
      </c>
      <c r="C370" s="5" t="s">
        <v>727</v>
      </c>
      <c r="D370" s="5" t="s">
        <v>85</v>
      </c>
      <c r="E370" s="8"/>
      <c r="F370" s="8"/>
      <c r="G370" s="8"/>
      <c r="H370" s="9">
        <v>780</v>
      </c>
      <c r="I370" s="8"/>
      <c r="J370" s="8"/>
      <c r="K370" s="10">
        <f>IF(COUNT(E370:J370)=0,"",MIN(E370:J370))</f>
      </c>
      <c r="L370" s="10">
        <f>IF(COUNT(E370:J370)=0,"",MAX(E370:J370))</f>
      </c>
      <c r="M370" s="5">
        <f>COUNT(E370:J370)</f>
      </c>
      <c r="N370" s="11">
        <f>IF(COUNT(E370:J370)=0,"",MEDIAN(E370:J370))</f>
      </c>
      <c r="O370" s="8"/>
      <c r="P370" s="12">
        <f>IF(OR(O370="",N370=""),"",1-O370/N370)</f>
      </c>
      <c r="Q370" s="5" t="s">
        <v>2</v>
      </c>
      <c r="R370" s="13"/>
      <c r="S370" s="6"/>
      <c r="T370" s="11">
        <f>IF(R370&lt;&gt;"",R370/(1-IF(S370&lt;&gt;"",S370,$E$3)),IF(N370="","",N370*(1+$B$3)))</f>
      </c>
    </row>
    <row r="371" spans="1:20" x14ac:dyDescent="0.25">
      <c r="A371" s="5" t="s">
        <v>728</v>
      </c>
      <c r="B371" s="5" t="s">
        <v>729</v>
      </c>
      <c r="C371" s="5" t="s">
        <v>59</v>
      </c>
      <c r="D371" s="5" t="s">
        <v>53</v>
      </c>
      <c r="E371" s="8"/>
      <c r="F371" s="8"/>
      <c r="G371" s="8"/>
      <c r="H371" s="8"/>
      <c r="I371" s="8"/>
      <c r="J371" s="9">
        <v>2.8</v>
      </c>
      <c r="K371" s="10">
        <f>IF(COUNT(E371:J371)=0,"",MIN(E371:J371))</f>
      </c>
      <c r="L371" s="10">
        <f>IF(COUNT(E371:J371)=0,"",MAX(E371:J371))</f>
      </c>
      <c r="M371" s="5">
        <f>COUNT(E371:J371)</f>
      </c>
      <c r="N371" s="11">
        <f>IF(COUNT(E371:J371)=0,"",MEDIAN(E371:J371))</f>
      </c>
      <c r="O371" s="8"/>
      <c r="P371" s="12">
        <f>IF(OR(O371="",N371=""),"",1-O371/N371)</f>
      </c>
      <c r="Q371" s="5" t="s">
        <v>2</v>
      </c>
      <c r="R371" s="13"/>
      <c r="S371" s="6"/>
      <c r="T371" s="11">
        <f>IF(R371&lt;&gt;"",R371/(1-IF(S371&lt;&gt;"",S371,$E$3)),IF(N371="","",N371*(1+$B$3)))</f>
      </c>
    </row>
    <row r="372" spans="1:20" x14ac:dyDescent="0.25">
      <c r="A372" s="5" t="s">
        <v>728</v>
      </c>
      <c r="B372" s="5" t="s">
        <v>730</v>
      </c>
      <c r="C372" s="5" t="s">
        <v>519</v>
      </c>
      <c r="D372" s="5" t="s">
        <v>155</v>
      </c>
      <c r="E372" s="8"/>
      <c r="F372" s="8"/>
      <c r="G372" s="8"/>
      <c r="H372" s="8"/>
      <c r="I372" s="8"/>
      <c r="J372" s="9">
        <v>102</v>
      </c>
      <c r="K372" s="10">
        <f>IF(COUNT(E372:J372)=0,"",MIN(E372:J372))</f>
      </c>
      <c r="L372" s="10">
        <f>IF(COUNT(E372:J372)=0,"",MAX(E372:J372))</f>
      </c>
      <c r="M372" s="5">
        <f>COUNT(E372:J372)</f>
      </c>
      <c r="N372" s="11">
        <f>IF(COUNT(E372:J372)=0,"",MEDIAN(E372:J372))</f>
      </c>
      <c r="O372" s="8"/>
      <c r="P372" s="12">
        <f>IF(OR(O372="",N372=""),"",1-O372/N372)</f>
      </c>
      <c r="Q372" s="5" t="s">
        <v>2</v>
      </c>
      <c r="R372" s="13"/>
      <c r="S372" s="6"/>
      <c r="T372" s="11">
        <f>IF(R372&lt;&gt;"",R372/(1-IF(S372&lt;&gt;"",S372,$E$3)),IF(N372="","",N372*(1+$B$3)))</f>
      </c>
    </row>
    <row r="373" spans="1:20" x14ac:dyDescent="0.25">
      <c r="A373" s="5" t="s">
        <v>728</v>
      </c>
      <c r="B373" s="5" t="s">
        <v>731</v>
      </c>
      <c r="C373" s="5" t="s">
        <v>63</v>
      </c>
      <c r="D373" s="5" t="s">
        <v>53</v>
      </c>
      <c r="E373" s="8"/>
      <c r="F373" s="8"/>
      <c r="G373" s="8"/>
      <c r="H373" s="8"/>
      <c r="I373" s="8"/>
      <c r="J373" s="9">
        <v>2.8</v>
      </c>
      <c r="K373" s="10">
        <f>IF(COUNT(E373:J373)=0,"",MIN(E373:J373))</f>
      </c>
      <c r="L373" s="10">
        <f>IF(COUNT(E373:J373)=0,"",MAX(E373:J373))</f>
      </c>
      <c r="M373" s="5">
        <f>COUNT(E373:J373)</f>
      </c>
      <c r="N373" s="11">
        <f>IF(COUNT(E373:J373)=0,"",MEDIAN(E373:J373))</f>
      </c>
      <c r="O373" s="8"/>
      <c r="P373" s="12">
        <f>IF(OR(O373="",N373=""),"",1-O373/N373)</f>
      </c>
      <c r="Q373" s="5" t="s">
        <v>2</v>
      </c>
      <c r="R373" s="13"/>
      <c r="S373" s="6"/>
      <c r="T373" s="11">
        <f>IF(R373&lt;&gt;"",R373/(1-IF(S373&lt;&gt;"",S373,$E$3)),IF(N373="","",N373*(1+$B$3)))</f>
      </c>
    </row>
    <row r="374" spans="1:20" x14ac:dyDescent="0.25">
      <c r="A374" s="5" t="s">
        <v>728</v>
      </c>
      <c r="B374" s="5" t="s">
        <v>732</v>
      </c>
      <c r="C374" s="5" t="s">
        <v>733</v>
      </c>
      <c r="D374" s="5" t="s">
        <v>53</v>
      </c>
      <c r="E374" s="8"/>
      <c r="F374" s="8"/>
      <c r="G374" s="8"/>
      <c r="H374" s="8"/>
      <c r="I374" s="8"/>
      <c r="J374" s="9">
        <v>2.8</v>
      </c>
      <c r="K374" s="10">
        <f>IF(COUNT(E374:J374)=0,"",MIN(E374:J374))</f>
      </c>
      <c r="L374" s="10">
        <f>IF(COUNT(E374:J374)=0,"",MAX(E374:J374))</f>
      </c>
      <c r="M374" s="5">
        <f>COUNT(E374:J374)</f>
      </c>
      <c r="N374" s="11">
        <f>IF(COUNT(E374:J374)=0,"",MEDIAN(E374:J374))</f>
      </c>
      <c r="O374" s="8"/>
      <c r="P374" s="12">
        <f>IF(OR(O374="",N374=""),"",1-O374/N374)</f>
      </c>
      <c r="Q374" s="5" t="s">
        <v>2</v>
      </c>
      <c r="R374" s="13"/>
      <c r="S374" s="6"/>
      <c r="T374" s="11">
        <f>IF(R374&lt;&gt;"",R374/(1-IF(S374&lt;&gt;"",S374,$E$3)),IF(N374="","",N374*(1+$B$3)))</f>
      </c>
    </row>
    <row r="376" spans="1:1" x14ac:dyDescent="0.25">
      <c r="A376" s="20" t="s">
        <v>734</v>
      </c>
    </row>
  </sheetData>
  <autoFilter ref="A5:T37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FormatPr defaultRowHeight="15" outlineLevelRow="0" outlineLevelCol="0" x14ac:dyDescent="55"/>
  <cols>
    <col min="1" max="1" width="48" customWidth="1"/>
    <col min="2" max="13" width="16" customWidth="1"/>
  </cols>
  <sheetData>
    <row r="1" spans="1:1" x14ac:dyDescent="0.25">
      <c r="A1" s="4" t="s">
        <v>735</v>
      </c>
    </row>
    <row r="3" ht="32" customHeight="1" spans="1:13" x14ac:dyDescent="0.25">
      <c r="A3" s="7" t="s">
        <v>28</v>
      </c>
      <c r="B3" s="7" t="s">
        <v>736</v>
      </c>
      <c r="C3" s="7" t="s">
        <v>737</v>
      </c>
      <c r="D3" s="7" t="s">
        <v>738</v>
      </c>
      <c r="E3" s="7" t="s">
        <v>739</v>
      </c>
      <c r="F3" s="7" t="s">
        <v>740</v>
      </c>
      <c r="G3" s="7" t="s">
        <v>741</v>
      </c>
      <c r="H3" s="7" t="s">
        <v>742</v>
      </c>
      <c r="I3" s="7" t="s">
        <v>743</v>
      </c>
      <c r="J3" s="7" t="s">
        <v>744</v>
      </c>
      <c r="K3" s="7" t="s">
        <v>745</v>
      </c>
      <c r="L3" s="7" t="s">
        <v>746</v>
      </c>
      <c r="M3" s="7" t="s">
        <v>747</v>
      </c>
    </row>
    <row r="4" spans="1:7" x14ac:dyDescent="0.25">
      <c r="A4" s="5" t="s">
        <v>748</v>
      </c>
      <c r="B4" s="21">
        <v>45</v>
      </c>
      <c r="C4" s="21">
        <v>165</v>
      </c>
      <c r="D4" s="21">
        <v>165</v>
      </c>
      <c r="E4" s="21">
        <v>153</v>
      </c>
      <c r="F4" s="21">
        <v>34</v>
      </c>
      <c r="G4" s="21">
        <v>85</v>
      </c>
    </row>
    <row r="5" spans="1:13" x14ac:dyDescent="0.25">
      <c r="A5" s="5" t="s">
        <v>749</v>
      </c>
      <c r="B5" s="22">
        <v>24469</v>
      </c>
      <c r="C5" s="22">
        <v>49167</v>
      </c>
      <c r="D5" s="22">
        <v>47176.05</v>
      </c>
      <c r="E5" s="22">
        <v>40149.6</v>
      </c>
      <c r="F5" s="22">
        <v>7911.99</v>
      </c>
      <c r="G5" s="22">
        <v>23303.35</v>
      </c>
      <c r="H5" s="23">
        <f>IF(B$4=0,"",B5/B$4)</f>
      </c>
      <c r="I5" s="23">
        <f>IF(C$4=0,"",C5/C$4)</f>
      </c>
      <c r="J5" s="23">
        <f>IF(D$4=0,"",D5/D$4)</f>
      </c>
      <c r="K5" s="23">
        <f>IF(E$4=0,"",E5/E$4)</f>
      </c>
      <c r="L5" s="23">
        <f>IF(F$4=0,"",F5/F$4)</f>
      </c>
      <c r="M5" s="23">
        <f>IF(G$4=0,"",G5/G$4)</f>
      </c>
    </row>
    <row r="6" spans="1:13" x14ac:dyDescent="0.25">
      <c r="A6" s="5" t="s">
        <v>750</v>
      </c>
      <c r="B6" s="22">
        <v>7128</v>
      </c>
      <c r="C6" s="22">
        <v>13473</v>
      </c>
      <c r="D6" s="22">
        <v>16398.41</v>
      </c>
      <c r="E6" s="22">
        <v>14447.15</v>
      </c>
      <c r="F6" s="22">
        <v>5753.97</v>
      </c>
      <c r="G6" s="22">
        <v>14319.5</v>
      </c>
      <c r="H6" s="23">
        <f>IF(B$4=0,"",B6/B$4)</f>
      </c>
      <c r="I6" s="23">
        <f>IF(C$4=0,"",C6/C$4)</f>
      </c>
      <c r="J6" s="23">
        <f>IF(D$4=0,"",D6/D$4)</f>
      </c>
      <c r="K6" s="23">
        <f>IF(E$4=0,"",E6/E$4)</f>
      </c>
      <c r="L6" s="23">
        <f>IF(F$4=0,"",F6/F$4)</f>
      </c>
      <c r="M6" s="23">
        <f>IF(G$4=0,"",G6/G$4)</f>
      </c>
    </row>
    <row r="7" spans="1:13" x14ac:dyDescent="0.25">
      <c r="A7" s="5" t="s">
        <v>751</v>
      </c>
      <c r="B7" s="22">
        <v>9535</v>
      </c>
      <c r="C7" s="22">
        <v>19526</v>
      </c>
      <c r="D7" s="22">
        <v>19203.22</v>
      </c>
      <c r="E7" s="22">
        <v>19542.35</v>
      </c>
      <c r="F7" s="22">
        <v>4996.49</v>
      </c>
      <c r="G7" s="22">
        <v>14855.99</v>
      </c>
      <c r="H7" s="23">
        <f>IF(B$4=0,"",B7/B$4)</f>
      </c>
      <c r="I7" s="23">
        <f>IF(C$4=0,"",C7/C$4)</f>
      </c>
      <c r="J7" s="23">
        <f>IF(D$4=0,"",D7/D$4)</f>
      </c>
      <c r="K7" s="23">
        <f>IF(E$4=0,"",E7/E$4)</f>
      </c>
      <c r="L7" s="23">
        <f>IF(F$4=0,"",F7/F$4)</f>
      </c>
      <c r="M7" s="23">
        <f>IF(G$4=0,"",G7/G$4)</f>
      </c>
    </row>
    <row r="8" spans="1:13" x14ac:dyDescent="0.25">
      <c r="A8" s="5" t="s">
        <v>752</v>
      </c>
      <c r="B8" s="22">
        <v>2740</v>
      </c>
      <c r="C8" s="22">
        <v>8208</v>
      </c>
      <c r="D8" s="22">
        <v>12176.4</v>
      </c>
      <c r="E8" s="22">
        <v>8542.27</v>
      </c>
      <c r="F8" s="22">
        <v>1667.03</v>
      </c>
      <c r="G8" s="22">
        <v>6977.95</v>
      </c>
      <c r="H8" s="23">
        <f>IF(B$4=0,"",B8/B$4)</f>
      </c>
      <c r="I8" s="23">
        <f>IF(C$4=0,"",C8/C$4)</f>
      </c>
      <c r="J8" s="23">
        <f>IF(D$4=0,"",D8/D$4)</f>
      </c>
      <c r="K8" s="23">
        <f>IF(E$4=0,"",E8/E$4)</f>
      </c>
      <c r="L8" s="23">
        <f>IF(F$4=0,"",F8/F$4)</f>
      </c>
      <c r="M8" s="23">
        <f>IF(G$4=0,"",G8/G$4)</f>
      </c>
    </row>
    <row r="9" spans="1:13" x14ac:dyDescent="0.25">
      <c r="A9" s="5" t="s">
        <v>753</v>
      </c>
      <c r="B9" s="22">
        <v>6424</v>
      </c>
      <c r="C9" s="22">
        <v>16982</v>
      </c>
      <c r="D9" s="22">
        <v>16982.11</v>
      </c>
      <c r="E9" s="22">
        <v>9342.56</v>
      </c>
      <c r="F9" s="22">
        <v>2565.05</v>
      </c>
      <c r="G9" s="22">
        <v>2438.35</v>
      </c>
      <c r="H9" s="23">
        <f>IF(B$4=0,"",B9/B$4)</f>
      </c>
      <c r="I9" s="23">
        <f>IF(C$4=0,"",C9/C$4)</f>
      </c>
      <c r="J9" s="23">
        <f>IF(D$4=0,"",D9/D$4)</f>
      </c>
      <c r="K9" s="23">
        <f>IF(E$4=0,"",E9/E$4)</f>
      </c>
      <c r="L9" s="23">
        <f>IF(F$4=0,"",F9/F$4)</f>
      </c>
      <c r="M9" s="23">
        <f>IF(G$4=0,"",G9/G$4)</f>
      </c>
    </row>
    <row r="10" spans="1:13" x14ac:dyDescent="0.25">
      <c r="A10" s="5" t="s">
        <v>754</v>
      </c>
      <c r="B10" s="24"/>
      <c r="C10" s="22">
        <v>2151</v>
      </c>
      <c r="D10" s="22">
        <v>2150.6</v>
      </c>
      <c r="E10" s="22">
        <v>1586.32</v>
      </c>
      <c r="F10" s="22">
        <v>540.6</v>
      </c>
      <c r="G10" s="22">
        <v>2256</v>
      </c>
      <c r="H10" s="23">
        <f>IF(B$4=0,"",B10/B$4)</f>
      </c>
      <c r="I10" s="23">
        <f>IF(C$4=0,"",C10/C$4)</f>
      </c>
      <c r="J10" s="23">
        <f>IF(D$4=0,"",D10/D$4)</f>
      </c>
      <c r="K10" s="23">
        <f>IF(E$4=0,"",E10/E$4)</f>
      </c>
      <c r="L10" s="23">
        <f>IF(F$4=0,"",F10/F$4)</f>
      </c>
      <c r="M10" s="23">
        <f>IF(G$4=0,"",G10/G$4)</f>
      </c>
    </row>
    <row r="11" spans="1:13" x14ac:dyDescent="0.25">
      <c r="A11" s="5" t="s">
        <v>755</v>
      </c>
      <c r="B11" s="24"/>
      <c r="C11" s="24"/>
      <c r="D11" s="24"/>
      <c r="E11" s="22">
        <v>545</v>
      </c>
      <c r="F11" s="22">
        <v>420</v>
      </c>
      <c r="G11" s="24"/>
      <c r="H11" s="23">
        <f>IF(B$4=0,"",B11/B$4)</f>
      </c>
      <c r="I11" s="23">
        <f>IF(C$4=0,"",C11/C$4)</f>
      </c>
      <c r="J11" s="23">
        <f>IF(D$4=0,"",D11/D$4)</f>
      </c>
      <c r="K11" s="23">
        <f>IF(E$4=0,"",E11/E$4)</f>
      </c>
      <c r="L11" s="23">
        <f>IF(F$4=0,"",F11/F$4)</f>
      </c>
      <c r="M11" s="23">
        <f>IF(G$4=0,"",G11/G$4)</f>
      </c>
    </row>
    <row r="12" spans="1:13" x14ac:dyDescent="0.25">
      <c r="A12" s="5" t="s">
        <v>756</v>
      </c>
      <c r="B12" s="22">
        <v>3650</v>
      </c>
      <c r="C12" s="22">
        <v>12255</v>
      </c>
      <c r="D12" s="22">
        <v>12254.66</v>
      </c>
      <c r="E12" s="22">
        <v>4785.24</v>
      </c>
      <c r="F12" s="22">
        <v>2451.75</v>
      </c>
      <c r="G12" s="22">
        <v>10653.99</v>
      </c>
      <c r="H12" s="23">
        <f>IF(B$4=0,"",B12/B$4)</f>
      </c>
      <c r="I12" s="23">
        <f>IF(C$4=0,"",C12/C$4)</f>
      </c>
      <c r="J12" s="23">
        <f>IF(D$4=0,"",D12/D$4)</f>
      </c>
      <c r="K12" s="23">
        <f>IF(E$4=0,"",E12/E$4)</f>
      </c>
      <c r="L12" s="23">
        <f>IF(F$4=0,"",F12/F$4)</f>
      </c>
      <c r="M12" s="23">
        <f>IF(G$4=0,"",G12/G$4)</f>
      </c>
    </row>
    <row r="13" spans="1:13" x14ac:dyDescent="0.25">
      <c r="A13" s="5" t="s">
        <v>757</v>
      </c>
      <c r="B13" s="22">
        <v>14720</v>
      </c>
      <c r="C13" s="22">
        <v>30832</v>
      </c>
      <c r="D13" s="22">
        <v>30832.44</v>
      </c>
      <c r="E13" s="22">
        <v>31565.53</v>
      </c>
      <c r="F13" s="22">
        <v>9617.47</v>
      </c>
      <c r="G13" s="22">
        <v>20180.82</v>
      </c>
      <c r="H13" s="23">
        <f>IF(B$4=0,"",B13/B$4)</f>
      </c>
      <c r="I13" s="23">
        <f>IF(C$4=0,"",C13/C$4)</f>
      </c>
      <c r="J13" s="23">
        <f>IF(D$4=0,"",D13/D$4)</f>
      </c>
      <c r="K13" s="23">
        <f>IF(E$4=0,"",E13/E$4)</f>
      </c>
      <c r="L13" s="23">
        <f>IF(F$4=0,"",F13/F$4)</f>
      </c>
      <c r="M13" s="23">
        <f>IF(G$4=0,"",G13/G$4)</f>
      </c>
    </row>
    <row r="14" spans="1:13" x14ac:dyDescent="0.25">
      <c r="A14" s="5" t="s">
        <v>758</v>
      </c>
      <c r="B14" s="22">
        <v>7768</v>
      </c>
      <c r="C14" s="22">
        <v>18020</v>
      </c>
      <c r="D14" s="22">
        <v>18020</v>
      </c>
      <c r="E14" s="22">
        <v>6848</v>
      </c>
      <c r="F14" s="22">
        <v>780</v>
      </c>
      <c r="G14" s="22">
        <v>2484</v>
      </c>
      <c r="H14" s="23">
        <f>IF(B$4=0,"",B14/B$4)</f>
      </c>
      <c r="I14" s="23">
        <f>IF(C$4=0,"",C14/C$4)</f>
      </c>
      <c r="J14" s="23">
        <f>IF(D$4=0,"",D14/D$4)</f>
      </c>
      <c r="K14" s="23">
        <f>IF(E$4=0,"",E14/E$4)</f>
      </c>
      <c r="L14" s="23">
        <f>IF(F$4=0,"",F14/F$4)</f>
      </c>
      <c r="M14" s="23">
        <f>IF(G$4=0,"",G14/G$4)</f>
      </c>
    </row>
    <row r="15" spans="1:13" x14ac:dyDescent="0.25">
      <c r="A15" s="5" t="s">
        <v>759</v>
      </c>
      <c r="B15" s="22">
        <v>7951</v>
      </c>
      <c r="C15" s="22">
        <v>11011</v>
      </c>
      <c r="D15" s="22">
        <v>11011.16</v>
      </c>
      <c r="E15" s="22">
        <v>7878.66</v>
      </c>
      <c r="F15" s="22">
        <v>913.83</v>
      </c>
      <c r="G15" s="22">
        <v>5600.37</v>
      </c>
      <c r="H15" s="23">
        <f>IF(B$4=0,"",B15/B$4)</f>
      </c>
      <c r="I15" s="23">
        <f>IF(C$4=0,"",C15/C$4)</f>
      </c>
      <c r="J15" s="23">
        <f>IF(D$4=0,"",D15/D$4)</f>
      </c>
      <c r="K15" s="23">
        <f>IF(E$4=0,"",E15/E$4)</f>
      </c>
      <c r="L15" s="23">
        <f>IF(F$4=0,"",F15/F$4)</f>
      </c>
      <c r="M15" s="23">
        <f>IF(G$4=0,"",G15/G$4)</f>
      </c>
    </row>
    <row r="16" spans="1:13" x14ac:dyDescent="0.25">
      <c r="A16" s="5" t="s">
        <v>760</v>
      </c>
      <c r="B16" s="22">
        <v>6556</v>
      </c>
      <c r="C16" s="22">
        <v>10313</v>
      </c>
      <c r="D16" s="22">
        <v>10313.3</v>
      </c>
      <c r="E16" s="22">
        <v>13404.01</v>
      </c>
      <c r="F16" s="22">
        <v>2444.87</v>
      </c>
      <c r="G16" s="22">
        <v>7227.8</v>
      </c>
      <c r="H16" s="23">
        <f>IF(B$4=0,"",B16/B$4)</f>
      </c>
      <c r="I16" s="23">
        <f>IF(C$4=0,"",C16/C$4)</f>
      </c>
      <c r="J16" s="23">
        <f>IF(D$4=0,"",D16/D$4)</f>
      </c>
      <c r="K16" s="23">
        <f>IF(E$4=0,"",E16/E$4)</f>
      </c>
      <c r="L16" s="23">
        <f>IF(F$4=0,"",F16/F$4)</f>
      </c>
      <c r="M16" s="23">
        <f>IF(G$4=0,"",G16/G$4)</f>
      </c>
    </row>
    <row r="17" spans="1:13" x14ac:dyDescent="0.25">
      <c r="A17" s="5" t="s">
        <v>761</v>
      </c>
      <c r="B17" s="22">
        <v>538</v>
      </c>
      <c r="C17" s="22">
        <v>2779</v>
      </c>
      <c r="D17" s="22">
        <v>2778.8</v>
      </c>
      <c r="E17" s="22">
        <v>1509.04</v>
      </c>
      <c r="F17" s="22">
        <v>402.8</v>
      </c>
      <c r="G17" s="22">
        <v>931.35</v>
      </c>
      <c r="H17" s="23">
        <f>IF(B$4=0,"",B17/B$4)</f>
      </c>
      <c r="I17" s="23">
        <f>IF(C$4=0,"",C17/C$4)</f>
      </c>
      <c r="J17" s="23">
        <f>IF(D$4=0,"",D17/D$4)</f>
      </c>
      <c r="K17" s="23">
        <f>IF(E$4=0,"",E17/E$4)</f>
      </c>
      <c r="L17" s="23">
        <f>IF(F$4=0,"",F17/F$4)</f>
      </c>
      <c r="M17" s="23">
        <f>IF(G$4=0,"",G17/G$4)</f>
      </c>
    </row>
    <row r="18" spans="1:13" x14ac:dyDescent="0.25">
      <c r="A18" s="5" t="s">
        <v>762</v>
      </c>
      <c r="B18" s="22">
        <v>2669</v>
      </c>
      <c r="C18" s="22">
        <v>14727</v>
      </c>
      <c r="D18" s="22">
        <v>17702.9</v>
      </c>
      <c r="E18" s="22">
        <v>5183.9</v>
      </c>
      <c r="F18" s="22">
        <v>1265.06</v>
      </c>
      <c r="G18" s="22">
        <v>4432.38</v>
      </c>
      <c r="H18" s="23">
        <f>IF(B$4=0,"",B18/B$4)</f>
      </c>
      <c r="I18" s="23">
        <f>IF(C$4=0,"",C18/C$4)</f>
      </c>
      <c r="J18" s="23">
        <f>IF(D$4=0,"",D18/D$4)</f>
      </c>
      <c r="K18" s="23">
        <f>IF(E$4=0,"",E18/E$4)</f>
      </c>
      <c r="L18" s="23">
        <f>IF(F$4=0,"",F18/F$4)</f>
      </c>
      <c r="M18" s="23">
        <f>IF(G$4=0,"",G18/G$4)</f>
      </c>
    </row>
    <row r="19" spans="1:13" x14ac:dyDescent="0.25">
      <c r="A19" s="5" t="s">
        <v>763</v>
      </c>
      <c r="B19" s="22">
        <v>10117</v>
      </c>
      <c r="C19" s="22">
        <v>17156</v>
      </c>
      <c r="D19" s="22">
        <v>17156</v>
      </c>
      <c r="E19" s="22">
        <v>10572</v>
      </c>
      <c r="F19" s="24"/>
      <c r="G19" s="24"/>
      <c r="H19" s="23">
        <f>IF(B$4=0,"",B19/B$4)</f>
      </c>
      <c r="I19" s="23">
        <f>IF(C$4=0,"",C19/C$4)</f>
      </c>
      <c r="J19" s="23">
        <f>IF(D$4=0,"",D19/D$4)</f>
      </c>
      <c r="K19" s="23">
        <f>IF(E$4=0,"",E19/E$4)</f>
      </c>
      <c r="L19" s="23">
        <f>IF(F$4=0,"",F19/F$4)</f>
      </c>
      <c r="M19" s="23">
        <f>IF(G$4=0,"",G19/G$4)</f>
      </c>
    </row>
    <row r="20" spans="1:13" x14ac:dyDescent="0.25">
      <c r="A20" s="5" t="s">
        <v>764</v>
      </c>
      <c r="B20" s="22">
        <v>3010</v>
      </c>
      <c r="C20" s="22">
        <v>13360</v>
      </c>
      <c r="D20" s="22">
        <v>2004</v>
      </c>
      <c r="E20" s="24"/>
      <c r="F20" s="22">
        <v>1199.8</v>
      </c>
      <c r="G20" s="22">
        <v>4029</v>
      </c>
      <c r="H20" s="23">
        <f>IF(B$4=0,"",B20/B$4)</f>
      </c>
      <c r="I20" s="23">
        <f>IF(C$4=0,"",C20/C$4)</f>
      </c>
      <c r="J20" s="23">
        <f>IF(D$4=0,"",D20/D$4)</f>
      </c>
      <c r="K20" s="23">
        <f>IF(E$4=0,"",E20/E$4)</f>
      </c>
      <c r="L20" s="23">
        <f>IF(F$4=0,"",F20/F$4)</f>
      </c>
      <c r="M20" s="23">
        <f>IF(G$4=0,"",G20/G$4)</f>
      </c>
    </row>
    <row r="21" spans="1:13" x14ac:dyDescent="0.25">
      <c r="A21" s="5" t="s">
        <v>765</v>
      </c>
      <c r="B21" s="24"/>
      <c r="C21" s="22">
        <v>10270</v>
      </c>
      <c r="D21" s="22">
        <v>2038.5</v>
      </c>
      <c r="E21" s="22">
        <v>18304.6</v>
      </c>
      <c r="F21" s="24"/>
      <c r="G21" s="22">
        <v>8436</v>
      </c>
      <c r="H21" s="23">
        <f>IF(B$4=0,"",B21/B$4)</f>
      </c>
      <c r="I21" s="23">
        <f>IF(C$4=0,"",C21/C$4)</f>
      </c>
      <c r="J21" s="23">
        <f>IF(D$4=0,"",D21/D$4)</f>
      </c>
      <c r="K21" s="23">
        <f>IF(E$4=0,"",E21/E$4)</f>
      </c>
      <c r="L21" s="23">
        <f>IF(F$4=0,"",F21/F$4)</f>
      </c>
      <c r="M21" s="23">
        <f>IF(G$4=0,"",G21/G$4)</f>
      </c>
    </row>
    <row r="22" spans="1:13" x14ac:dyDescent="0.25">
      <c r="A22" s="5" t="s">
        <v>766</v>
      </c>
      <c r="B22" s="24"/>
      <c r="C22" s="24"/>
      <c r="D22" s="24"/>
      <c r="E22" s="22">
        <v>5242.53</v>
      </c>
      <c r="F22" s="24"/>
      <c r="G22" s="22">
        <v>3254.17</v>
      </c>
      <c r="H22" s="23">
        <f>IF(B$4=0,"",B22/B$4)</f>
      </c>
      <c r="I22" s="23">
        <f>IF(C$4=0,"",C22/C$4)</f>
      </c>
      <c r="J22" s="23">
        <f>IF(D$4=0,"",D22/D$4)</f>
      </c>
      <c r="K22" s="23">
        <f>IF(E$4=0,"",E22/E$4)</f>
      </c>
      <c r="L22" s="23">
        <f>IF(F$4=0,"",F22/F$4)</f>
      </c>
      <c r="M22" s="23">
        <f>IF(G$4=0,"",G22/G$4)</f>
      </c>
    </row>
    <row r="23" spans="1:13" x14ac:dyDescent="0.25">
      <c r="A23" s="5" t="s">
        <v>767</v>
      </c>
      <c r="B23" s="22">
        <v>5925</v>
      </c>
      <c r="C23" s="22">
        <v>30262</v>
      </c>
      <c r="D23" s="22">
        <v>33862</v>
      </c>
      <c r="E23" s="22">
        <v>84708.77</v>
      </c>
      <c r="F23" s="22">
        <v>170</v>
      </c>
      <c r="G23" s="22">
        <v>5377.5</v>
      </c>
      <c r="H23" s="23">
        <f>IF(B$4=0,"",B23/B$4)</f>
      </c>
      <c r="I23" s="23">
        <f>IF(C$4=0,"",C23/C$4)</f>
      </c>
      <c r="J23" s="23">
        <f>IF(D$4=0,"",D23/D$4)</f>
      </c>
      <c r="K23" s="23">
        <f>IF(E$4=0,"",E23/E$4)</f>
      </c>
      <c r="L23" s="23">
        <f>IF(F$4=0,"",F23/F$4)</f>
      </c>
      <c r="M23" s="23">
        <f>IF(G$4=0,"",G23/G$4)</f>
      </c>
    </row>
    <row r="24" spans="1:13" x14ac:dyDescent="0.25">
      <c r="A24" s="25" t="s">
        <v>768</v>
      </c>
      <c r="B24" s="26">
        <f>SUM(B5:B23)</f>
      </c>
      <c r="C24" s="26">
        <f>SUM(C5:C23)</f>
      </c>
      <c r="D24" s="26">
        <f>SUM(D5:D23)</f>
      </c>
      <c r="E24" s="26">
        <f>SUM(E5:E23)</f>
      </c>
      <c r="F24" s="26">
        <f>SUM(F5:F23)</f>
      </c>
      <c r="G24" s="26">
        <f>SUM(G5:G23)</f>
      </c>
      <c r="H24" s="26">
        <f>SUM(H5:H23)</f>
      </c>
      <c r="I24" s="26">
        <f>SUM(I5:I23)</f>
      </c>
      <c r="J24" s="26">
        <f>SUM(J5:J23)</f>
      </c>
      <c r="K24" s="26">
        <f>SUM(K5:K23)</f>
      </c>
      <c r="L24" s="26">
        <f>SUM(L5:L23)</f>
      </c>
      <c r="M24" s="26">
        <f>SUM(M5:M23)</f>
      </c>
    </row>
    <row r="26" spans="1:7" x14ac:dyDescent="0.25">
      <c r="A26" s="5" t="s">
        <v>769</v>
      </c>
      <c r="B26" s="22">
        <v>113200.33</v>
      </c>
      <c r="C26" s="22">
        <v>280490</v>
      </c>
      <c r="D26" s="22">
        <v>272060.55</v>
      </c>
      <c r="E26" s="22">
        <v>284157.53</v>
      </c>
      <c r="F26" s="22">
        <v>43100.71</v>
      </c>
      <c r="G26" s="22">
        <v>144795.33</v>
      </c>
    </row>
    <row r="27" spans="1:7" x14ac:dyDescent="0.25">
      <c r="A27" s="5" t="s">
        <v>770</v>
      </c>
      <c r="B27" s="23">
        <f>B26-B24</f>
      </c>
      <c r="C27" s="23">
        <f>C26-C24</f>
      </c>
      <c r="D27" s="23">
        <f>D26-D24</f>
      </c>
      <c r="E27" s="23">
        <f>E26-E24</f>
      </c>
      <c r="F27" s="23">
        <f>F26-F24</f>
      </c>
      <c r="G27" s="23">
        <f>G26-G24</f>
      </c>
    </row>
    <row r="29" spans="1:1" x14ac:dyDescent="0.25">
      <c r="A29" s="25" t="s">
        <v>771</v>
      </c>
    </row>
    <row r="30" spans="1:1" x14ac:dyDescent="0.25">
      <c r="A30" s="20" t="s">
        <v>772</v>
      </c>
    </row>
    <row r="31" spans="1:1" x14ac:dyDescent="0.25">
      <c r="A31" s="20" t="s">
        <v>773</v>
      </c>
    </row>
    <row r="32" spans="1:1" x14ac:dyDescent="0.25">
      <c r="A32" s="20" t="s">
        <v>774</v>
      </c>
    </row>
    <row r="33" spans="1:1" x14ac:dyDescent="0.25">
      <c r="A33" s="20" t="s">
        <v>775</v>
      </c>
    </row>
    <row r="34" spans="1:1" x14ac:dyDescent="0.25">
      <c r="A34" s="20" t="s">
        <v>776</v>
      </c>
    </row>
    <row r="35" spans="1:1" x14ac:dyDescent="0.25">
      <c r="A35" s="20" t="s">
        <v>777</v>
      </c>
    </row>
    <row r="36" spans="1:1" x14ac:dyDescent="0.25">
      <c r="A36" s="20" t="s">
        <v>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FormatPr defaultRowHeight="15" outlineLevelRow="0" outlineLevelCol="0" x14ac:dyDescent="55"/>
  <cols>
    <col min="1" max="1" width="52" customWidth="1"/>
    <col min="2" max="5" width="18" customWidth="1"/>
  </cols>
  <sheetData>
    <row r="1" spans="1:1" x14ac:dyDescent="0.25">
      <c r="A1" s="4" t="s">
        <v>779</v>
      </c>
    </row>
    <row r="2" spans="1:1" x14ac:dyDescent="0.25">
      <c r="A2" s="20" t="s">
        <v>780</v>
      </c>
    </row>
    <row r="4" ht="32" customHeight="1" spans="1:5" x14ac:dyDescent="0.25">
      <c r="A4" s="7" t="s">
        <v>781</v>
      </c>
      <c r="B4" s="7" t="s">
        <v>782</v>
      </c>
      <c r="C4" s="7" t="s">
        <v>783</v>
      </c>
      <c r="D4" s="7" t="s">
        <v>784</v>
      </c>
      <c r="E4" s="7" t="s">
        <v>785</v>
      </c>
    </row>
    <row r="5" spans="1:5" x14ac:dyDescent="0.25">
      <c r="A5" s="5" t="s">
        <v>786</v>
      </c>
      <c r="B5" s="22">
        <v>38848.21</v>
      </c>
      <c r="C5" s="22">
        <v>42571.38</v>
      </c>
      <c r="D5" s="22">
        <v>18825.63</v>
      </c>
      <c r="E5" s="22">
        <v>12555.12</v>
      </c>
    </row>
    <row r="6" spans="1:5" x14ac:dyDescent="0.25">
      <c r="A6" s="5" t="s">
        <v>787</v>
      </c>
      <c r="B6" s="22">
        <v>7672.84</v>
      </c>
      <c r="C6" s="22">
        <v>24116.6</v>
      </c>
      <c r="D6" s="22">
        <v>27040.48</v>
      </c>
      <c r="E6" s="22">
        <v>2983.89</v>
      </c>
    </row>
    <row r="7" spans="1:5" x14ac:dyDescent="0.25">
      <c r="A7" s="5" t="s">
        <v>788</v>
      </c>
      <c r="B7" s="22">
        <v>26713.32</v>
      </c>
      <c r="C7" s="22">
        <v>568.48</v>
      </c>
      <c r="D7" s="22">
        <v>12068.08</v>
      </c>
      <c r="E7" s="22">
        <v>8580.5</v>
      </c>
    </row>
    <row r="8" spans="1:5" x14ac:dyDescent="0.25">
      <c r="A8" s="5" t="s">
        <v>789</v>
      </c>
      <c r="B8" s="22">
        <v>6933.2</v>
      </c>
      <c r="C8" s="22">
        <v>6147.69</v>
      </c>
      <c r="D8" s="22">
        <v>5003.56</v>
      </c>
      <c r="E8" s="22">
        <v>1235.96</v>
      </c>
    </row>
    <row r="9" spans="1:5" x14ac:dyDescent="0.25">
      <c r="A9" s="5" t="s">
        <v>790</v>
      </c>
      <c r="B9" s="22">
        <v>3287.32</v>
      </c>
      <c r="C9" s="22">
        <v>1128.03</v>
      </c>
      <c r="D9" s="24"/>
      <c r="E9" s="22">
        <v>983.29</v>
      </c>
    </row>
    <row r="10" spans="1:5" x14ac:dyDescent="0.25">
      <c r="A10" s="5" t="s">
        <v>791</v>
      </c>
      <c r="B10" s="22">
        <v>5927.4</v>
      </c>
      <c r="C10" s="24"/>
      <c r="D10" s="24"/>
      <c r="E10" s="22">
        <v>2879.3</v>
      </c>
    </row>
    <row r="11" spans="1:5" x14ac:dyDescent="0.25">
      <c r="A11" s="5" t="s">
        <v>792</v>
      </c>
      <c r="B11" s="22">
        <v>5733.62</v>
      </c>
      <c r="C11" s="24"/>
      <c r="D11" s="22">
        <v>3587</v>
      </c>
      <c r="E11" s="22">
        <v>1060.88</v>
      </c>
    </row>
    <row r="12" spans="1:5" x14ac:dyDescent="0.25">
      <c r="A12" s="5" t="s">
        <v>793</v>
      </c>
      <c r="B12" s="22">
        <v>667.58</v>
      </c>
      <c r="C12" s="24"/>
      <c r="D12" s="22">
        <v>547.94</v>
      </c>
      <c r="E12" s="22">
        <v>679.53</v>
      </c>
    </row>
    <row r="13" spans="1:5" x14ac:dyDescent="0.25">
      <c r="A13" s="5" t="s">
        <v>763</v>
      </c>
      <c r="B13" s="22">
        <v>8181.65</v>
      </c>
      <c r="C13" s="24"/>
      <c r="D13" s="24"/>
      <c r="E13" s="24"/>
    </row>
    <row r="14" spans="1:5" x14ac:dyDescent="0.25">
      <c r="A14" s="5" t="s">
        <v>794</v>
      </c>
      <c r="B14" s="22">
        <v>15795.28</v>
      </c>
      <c r="C14" s="22">
        <v>19002.15</v>
      </c>
      <c r="D14" s="22">
        <v>15024.95</v>
      </c>
      <c r="E14" s="22">
        <v>5872.54</v>
      </c>
    </row>
    <row r="15" spans="1:5" x14ac:dyDescent="0.25">
      <c r="A15" s="5" t="s">
        <v>795</v>
      </c>
      <c r="B15" s="22">
        <v>4233.48</v>
      </c>
      <c r="C15" s="24"/>
      <c r="D15" s="24"/>
      <c r="E15" s="22">
        <v>492.8</v>
      </c>
    </row>
    <row r="16" spans="1:5" x14ac:dyDescent="0.25">
      <c r="A16" s="5" t="s">
        <v>796</v>
      </c>
      <c r="B16" s="22">
        <v>3973</v>
      </c>
      <c r="C16" s="22">
        <v>4660.36</v>
      </c>
      <c r="D16" s="22">
        <v>3632.74</v>
      </c>
      <c r="E16" s="22">
        <v>3079.75</v>
      </c>
    </row>
    <row r="17" spans="1:5" x14ac:dyDescent="0.25">
      <c r="A17" s="5" t="s">
        <v>797</v>
      </c>
      <c r="B17" s="22">
        <v>2077.2</v>
      </c>
      <c r="C17" s="22">
        <v>397.17</v>
      </c>
      <c r="D17" s="22">
        <v>2110.43</v>
      </c>
      <c r="E17" s="22">
        <v>750.49</v>
      </c>
    </row>
    <row r="18" spans="1:5" x14ac:dyDescent="0.25">
      <c r="A18" s="25" t="s">
        <v>798</v>
      </c>
      <c r="B18" s="26">
        <f>SUM(B5:B17)</f>
      </c>
      <c r="C18" s="26">
        <f>SUM(C5:C17)</f>
      </c>
      <c r="D18" s="26">
        <f>SUM(D5:D17)</f>
      </c>
      <c r="E18" s="26">
        <f>SUM(E5:E17)</f>
      </c>
    </row>
    <row r="19" spans="1:5" x14ac:dyDescent="0.25">
      <c r="A19" s="5" t="s">
        <v>799</v>
      </c>
      <c r="B19" s="22">
        <v>109498.57</v>
      </c>
      <c r="C19" s="22">
        <v>280491.85</v>
      </c>
      <c r="D19" s="22">
        <v>259291.52000000002</v>
      </c>
      <c r="E19" s="22">
        <v>41900.9</v>
      </c>
    </row>
    <row r="20" spans="1:5" x14ac:dyDescent="0.25">
      <c r="A20" s="25" t="s">
        <v>800</v>
      </c>
      <c r="B20" s="23">
        <f>B19-B18</f>
      </c>
      <c r="C20" s="23">
        <f>C19-C18</f>
      </c>
      <c r="D20" s="23">
        <f>D19-D18</f>
      </c>
      <c r="E20" s="23">
        <f>E19-E18</f>
      </c>
    </row>
    <row r="21" spans="1:5" x14ac:dyDescent="0.25">
      <c r="A21" s="5" t="s">
        <v>801</v>
      </c>
      <c r="B21" s="12">
        <f>IF(B19=0,"",B20/B19)</f>
      </c>
      <c r="C21" s="12">
        <f>IF(C19=0,"",C20/C19)</f>
      </c>
      <c r="D21" s="12">
        <f>IF(D19=0,"",D20/D19)</f>
      </c>
      <c r="E21" s="12">
        <f>IF(E19=0,"",E20/E19)</f>
      </c>
    </row>
    <row r="22" ht="42" customHeight="1" spans="1:5" x14ac:dyDescent="0.25">
      <c r="A22" s="5" t="s">
        <v>802</v>
      </c>
      <c r="B22" s="2" t="s">
        <v>803</v>
      </c>
      <c r="C22" s="2" t="s">
        <v>804</v>
      </c>
      <c r="D22" s="2" t="s">
        <v>805</v>
      </c>
      <c r="E22" s="2" t="s">
        <v>803</v>
      </c>
    </row>
    <row r="23" spans="1:6" x14ac:dyDescent="0.25">
      <c r="A23" s="5" t="s">
        <v>806</v>
      </c>
      <c r="B23" s="23">
        <f>B19</f>
      </c>
      <c r="C23" s="22">
        <v>154052</v>
      </c>
      <c r="D23" s="5" t="s">
        <v>807</v>
      </c>
      <c r="E23" s="23">
        <f>E19</f>
      </c>
      <c r="F23" s="20" t="s">
        <v>808</v>
      </c>
    </row>
    <row r="24" spans="1:5" x14ac:dyDescent="0.25">
      <c r="A24" s="25" t="s">
        <v>809</v>
      </c>
      <c r="B24" s="23">
        <f>B23-B18</f>
      </c>
      <c r="C24" s="23">
        <f>C23-C18</f>
      </c>
      <c r="E24" s="23">
        <f>E23-E18</f>
      </c>
    </row>
    <row r="25" spans="1:5" x14ac:dyDescent="0.25">
      <c r="A25" s="5" t="s">
        <v>810</v>
      </c>
      <c r="B25" s="12">
        <f>IF(B23=0,"",B24/B23)</f>
      </c>
      <c r="C25" s="12">
        <f>IF(C23=0,"",C24/C23)</f>
      </c>
      <c r="E25" s="12">
        <f>IF(E23=0,"",E24/E23)</f>
      </c>
    </row>
    <row r="27" spans="1:1" x14ac:dyDescent="0.25">
      <c r="A27" s="25" t="s">
        <v>811</v>
      </c>
    </row>
    <row r="28" ht="32" customHeight="1" spans="1:5" x14ac:dyDescent="0.25">
      <c r="A28" s="7" t="s">
        <v>812</v>
      </c>
      <c r="B28" s="7" t="s">
        <v>782</v>
      </c>
      <c r="C28" s="7" t="s">
        <v>783</v>
      </c>
      <c r="D28" s="7" t="s">
        <v>784</v>
      </c>
      <c r="E28" s="7" t="s">
        <v>785</v>
      </c>
    </row>
    <row r="29" spans="1:5" x14ac:dyDescent="0.25">
      <c r="A29" s="5" t="s">
        <v>813</v>
      </c>
      <c r="B29" s="27">
        <v>7996.33</v>
      </c>
      <c r="C29" s="27">
        <v>14039.05</v>
      </c>
      <c r="D29" s="27">
        <v>12060.26</v>
      </c>
      <c r="E29" s="27">
        <v>2601.93</v>
      </c>
    </row>
    <row r="30" spans="1:5" x14ac:dyDescent="0.25">
      <c r="A30" s="5" t="s">
        <v>814</v>
      </c>
      <c r="B30" s="10">
        <f>IF(B29=0,"",B5/B29)</f>
      </c>
      <c r="C30" s="10">
        <f>IF(C29=0,"",C5/C29)</f>
      </c>
      <c r="D30" s="10">
        <f>IF(D29=0,"",D5/D29)</f>
      </c>
      <c r="E30" s="10">
        <f>IF(E29=0,"",E5/E29)</f>
      </c>
    </row>
    <row r="31" spans="1:5" x14ac:dyDescent="0.25">
      <c r="A31" s="5" t="s">
        <v>815</v>
      </c>
      <c r="B31" s="28">
        <v>148.57</v>
      </c>
      <c r="C31" s="28">
        <v>349.5</v>
      </c>
      <c r="D31" s="28">
        <v>325.62</v>
      </c>
      <c r="E31" s="28">
        <v>113.88</v>
      </c>
    </row>
    <row r="32" spans="1:5" x14ac:dyDescent="0.25">
      <c r="A32" s="5" t="s">
        <v>816</v>
      </c>
      <c r="B32" s="10">
        <f>IF(B6=0,"",B6/B31)</f>
      </c>
      <c r="C32" s="10">
        <f>IF(C6=0,"",C6/C31)</f>
      </c>
      <c r="D32" s="10">
        <f>IF(D6=0,"",D6/D31)</f>
      </c>
      <c r="E32" s="10">
        <f>IF(E6=0,"",E6/E31)</f>
      </c>
    </row>
    <row r="33" spans="1:5" x14ac:dyDescent="0.25">
      <c r="A33" s="5" t="s">
        <v>748</v>
      </c>
      <c r="B33" s="27">
        <v>45</v>
      </c>
      <c r="C33" s="27">
        <v>165</v>
      </c>
      <c r="D33" s="27">
        <v>153</v>
      </c>
      <c r="E33" s="27">
        <v>34</v>
      </c>
    </row>
    <row r="34" spans="1:5" x14ac:dyDescent="0.25">
      <c r="A34" s="5" t="s">
        <v>817</v>
      </c>
      <c r="B34" s="23">
        <f>IF(B33=0,"",B14/B33)</f>
      </c>
      <c r="C34" s="23">
        <f>IF(C33=0,"",C14/C33)</f>
      </c>
      <c r="D34" s="23">
        <f>IF(D33=0,"",D14/D33)</f>
      </c>
      <c r="E34" s="23">
        <f>IF(E33=0,"",E14/E33)</f>
      </c>
    </row>
    <row r="36" spans="1:1" x14ac:dyDescent="0.25">
      <c r="A36" s="25" t="s">
        <v>818</v>
      </c>
    </row>
    <row r="37" spans="1:1" x14ac:dyDescent="0.25">
      <c r="A37" s="5" t="s">
        <v>819</v>
      </c>
    </row>
    <row r="38" spans="1:1" x14ac:dyDescent="0.25">
      <c r="A38" s="5" t="s">
        <v>820</v>
      </c>
    </row>
    <row r="39" spans="1:1" x14ac:dyDescent="0.25">
      <c r="A39" s="5" t="s">
        <v>821</v>
      </c>
    </row>
    <row r="40" spans="1:1" x14ac:dyDescent="0.25">
      <c r="A40" s="5" t="s">
        <v>822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1" width="70" customWidth="1"/>
    <col min="2" max="2" width="16" customWidth="1"/>
    <col min="3" max="3" width="12" customWidth="1"/>
  </cols>
  <sheetData>
    <row r="1" spans="1:1" x14ac:dyDescent="0.25">
      <c r="A1" s="4" t="s">
        <v>823</v>
      </c>
    </row>
    <row r="2" spans="1:1" x14ac:dyDescent="0.25">
      <c r="A2" s="5" t="s">
        <v>824</v>
      </c>
    </row>
    <row r="4" ht="32" customHeight="1" spans="1:3" x14ac:dyDescent="0.25">
      <c r="A4" s="7" t="s">
        <v>781</v>
      </c>
      <c r="B4" s="7" t="s">
        <v>825</v>
      </c>
      <c r="C4" s="7" t="s">
        <v>826</v>
      </c>
    </row>
    <row r="5" spans="1:3" x14ac:dyDescent="0.25">
      <c r="A5" s="5" t="s">
        <v>827</v>
      </c>
      <c r="B5" s="9">
        <v>43180.13</v>
      </c>
      <c r="C5" s="12">
        <f>B5/$B$9</f>
      </c>
    </row>
    <row r="6" spans="1:3" x14ac:dyDescent="0.25">
      <c r="A6" s="5" t="s">
        <v>828</v>
      </c>
      <c r="B6" s="9">
        <v>41430.97</v>
      </c>
      <c r="C6" s="12">
        <f>B6/$B$9</f>
      </c>
    </row>
    <row r="7" spans="1:3" x14ac:dyDescent="0.25">
      <c r="A7" s="5" t="s">
        <v>829</v>
      </c>
      <c r="B7" s="9">
        <v>24500</v>
      </c>
      <c r="C7" s="12">
        <f>B7/$B$9</f>
      </c>
    </row>
    <row r="8" spans="1:3" x14ac:dyDescent="0.25">
      <c r="A8" s="5" t="s">
        <v>830</v>
      </c>
      <c r="B8" s="9">
        <v>37831.49</v>
      </c>
      <c r="C8" s="12">
        <f>B8/$B$9</f>
      </c>
    </row>
    <row r="9" spans="1:2" x14ac:dyDescent="0.25">
      <c r="A9" s="25" t="s">
        <v>831</v>
      </c>
      <c r="B9" s="11">
        <f>SUM(B5:B8)</f>
      </c>
    </row>
    <row r="11" spans="1:1" x14ac:dyDescent="0.25">
      <c r="A11" s="25" t="s">
        <v>832</v>
      </c>
    </row>
    <row r="12" spans="1:2" x14ac:dyDescent="0.25">
      <c r="A12" s="5" t="s">
        <v>833</v>
      </c>
      <c r="B12" s="29">
        <f>B6/B5</f>
      </c>
    </row>
    <row r="13" spans="1:2" x14ac:dyDescent="0.25">
      <c r="A13" s="5" t="s">
        <v>834</v>
      </c>
      <c r="B13" s="12">
        <f>B8/(B5+B6+B7)</f>
      </c>
    </row>
    <row r="14" spans="1:3" x14ac:dyDescent="0.25">
      <c r="A14" s="5" t="s">
        <v>835</v>
      </c>
      <c r="B14" s="23">
        <f>B7/5/0.2</f>
      </c>
      <c r="C14" s="5" t="s">
        <v>836</v>
      </c>
    </row>
    <row r="16" spans="1:1" x14ac:dyDescent="0.25">
      <c r="A16" s="25" t="s">
        <v>837</v>
      </c>
    </row>
    <row r="17" spans="1:2" x14ac:dyDescent="0.25">
      <c r="A17" s="5" t="s">
        <v>838</v>
      </c>
      <c r="B17" s="9">
        <v>0.8</v>
      </c>
    </row>
    <row r="18" spans="1:2" x14ac:dyDescent="0.25">
      <c r="A18" s="5" t="s">
        <v>839</v>
      </c>
      <c r="B18" s="9">
        <v>0.45</v>
      </c>
    </row>
    <row r="19" spans="1:2" x14ac:dyDescent="0.25">
      <c r="A19" s="5" t="s">
        <v>840</v>
      </c>
      <c r="B19" s="9">
        <v>0.12</v>
      </c>
    </row>
    <row r="20" spans="1:2" x14ac:dyDescent="0.25">
      <c r="A20" s="5" t="s">
        <v>841</v>
      </c>
      <c r="B20" s="9">
        <v>40</v>
      </c>
    </row>
    <row r="21" spans="1:2" x14ac:dyDescent="0.25">
      <c r="A21" s="5" t="s">
        <v>842</v>
      </c>
      <c r="B21" s="9">
        <v>42</v>
      </c>
    </row>
    <row r="22" spans="1:2" x14ac:dyDescent="0.25">
      <c r="A22" s="5" t="s">
        <v>843</v>
      </c>
      <c r="B22" s="9">
        <v>52</v>
      </c>
    </row>
    <row r="23" spans="1:2" x14ac:dyDescent="0.25">
      <c r="A23" s="5" t="s">
        <v>844</v>
      </c>
      <c r="B23" s="9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FormatPr defaultRowHeight="15" outlineLevelRow="0" outlineLevelCol="0" x14ac:dyDescent="55"/>
  <cols>
    <col min="1" max="1" width="14" customWidth="1"/>
    <col min="2" max="2" width="80" customWidth="1"/>
    <col min="3" max="3" width="6" customWidth="1"/>
    <col min="4" max="4" width="11" customWidth="1"/>
    <col min="5" max="5" width="12" customWidth="1"/>
    <col min="6" max="6" width="13" customWidth="1"/>
  </cols>
  <sheetData>
    <row r="1" spans="1:1" x14ac:dyDescent="0.25">
      <c r="A1" s="4" t="s">
        <v>845</v>
      </c>
    </row>
    <row r="2" spans="1:1" x14ac:dyDescent="0.25">
      <c r="A2" s="5" t="s">
        <v>846</v>
      </c>
    </row>
    <row r="4" ht="32" customHeight="1" spans="1:6" x14ac:dyDescent="0.25">
      <c r="A4" s="7" t="s">
        <v>29</v>
      </c>
      <c r="B4" s="7" t="s">
        <v>30</v>
      </c>
      <c r="C4" s="7" t="s">
        <v>31</v>
      </c>
      <c r="D4" s="7" t="s">
        <v>847</v>
      </c>
      <c r="E4" s="7" t="s">
        <v>848</v>
      </c>
      <c r="F4" s="7" t="s">
        <v>825</v>
      </c>
    </row>
    <row r="5" spans="1:6" x14ac:dyDescent="0.25">
      <c r="A5" s="5" t="s">
        <v>849</v>
      </c>
      <c r="B5" s="5" t="s">
        <v>850</v>
      </c>
      <c r="C5" s="5" t="s">
        <v>155</v>
      </c>
      <c r="D5" s="30">
        <v>645</v>
      </c>
      <c r="E5" s="9">
        <v>6.59</v>
      </c>
      <c r="F5" s="10">
        <f>D5*E5</f>
      </c>
    </row>
    <row r="6" spans="1:6" x14ac:dyDescent="0.25">
      <c r="A6" s="5" t="s">
        <v>851</v>
      </c>
      <c r="B6" s="5" t="s">
        <v>852</v>
      </c>
      <c r="C6" s="5" t="s">
        <v>155</v>
      </c>
      <c r="D6" s="30">
        <v>131.54</v>
      </c>
      <c r="E6" s="9">
        <v>9.52</v>
      </c>
      <c r="F6" s="10">
        <f>D6*E6</f>
      </c>
    </row>
    <row r="7" spans="1:6" x14ac:dyDescent="0.25">
      <c r="A7" s="5" t="s">
        <v>853</v>
      </c>
      <c r="B7" s="5" t="s">
        <v>854</v>
      </c>
      <c r="C7" s="5" t="s">
        <v>855</v>
      </c>
      <c r="D7" s="30">
        <v>47.47</v>
      </c>
      <c r="E7" s="9">
        <v>254</v>
      </c>
      <c r="F7" s="10">
        <f>D7*E7</f>
      </c>
    </row>
    <row r="8" spans="1:6" x14ac:dyDescent="0.25">
      <c r="A8" s="5" t="s">
        <v>856</v>
      </c>
      <c r="B8" s="5" t="s">
        <v>857</v>
      </c>
      <c r="C8" s="5" t="s">
        <v>855</v>
      </c>
      <c r="D8" s="30">
        <v>30.14</v>
      </c>
      <c r="E8" s="9">
        <v>251.99</v>
      </c>
      <c r="F8" s="10">
        <f>D8*E8</f>
      </c>
    </row>
    <row r="9" spans="1:6" x14ac:dyDescent="0.25">
      <c r="A9" s="5" t="s">
        <v>858</v>
      </c>
      <c r="B9" s="5" t="s">
        <v>859</v>
      </c>
      <c r="C9" s="5" t="s">
        <v>155</v>
      </c>
      <c r="D9" s="30">
        <v>43.7</v>
      </c>
      <c r="E9" s="9">
        <v>98.56</v>
      </c>
      <c r="F9" s="10">
        <f>D9*E9</f>
      </c>
    </row>
    <row r="10" spans="1:6" x14ac:dyDescent="0.25">
      <c r="A10" s="5" t="s">
        <v>56</v>
      </c>
      <c r="B10" s="5" t="s">
        <v>860</v>
      </c>
      <c r="C10" s="5" t="s">
        <v>31</v>
      </c>
      <c r="D10" s="30">
        <v>37</v>
      </c>
      <c r="E10" s="9">
        <v>78</v>
      </c>
      <c r="F10" s="10">
        <f>D10*E10</f>
      </c>
    </row>
    <row r="11" spans="1:6" x14ac:dyDescent="0.25">
      <c r="A11" s="5" t="s">
        <v>861</v>
      </c>
      <c r="B11" s="5" t="s">
        <v>860</v>
      </c>
      <c r="C11" s="5" t="s">
        <v>31</v>
      </c>
      <c r="D11" s="30">
        <v>21</v>
      </c>
      <c r="E11" s="9">
        <v>49.78</v>
      </c>
      <c r="F11" s="10">
        <f>D11*E11</f>
      </c>
    </row>
    <row r="12" spans="1:6" x14ac:dyDescent="0.25">
      <c r="A12" s="5" t="s">
        <v>862</v>
      </c>
      <c r="B12" s="5" t="s">
        <v>863</v>
      </c>
      <c r="C12" s="5" t="s">
        <v>155</v>
      </c>
      <c r="D12" s="30">
        <v>97.4</v>
      </c>
      <c r="E12" s="9">
        <v>58.84</v>
      </c>
      <c r="F12" s="10">
        <f>D12*E12</f>
      </c>
    </row>
    <row r="13" spans="1:6" x14ac:dyDescent="0.25">
      <c r="A13" s="5" t="s">
        <v>864</v>
      </c>
      <c r="B13" s="5" t="s">
        <v>865</v>
      </c>
      <c r="C13" s="5" t="s">
        <v>178</v>
      </c>
      <c r="D13" s="30">
        <v>49.5</v>
      </c>
      <c r="E13" s="9">
        <v>24.68</v>
      </c>
      <c r="F13" s="10">
        <f>D13*E13</f>
      </c>
    </row>
    <row r="14" spans="1:6" x14ac:dyDescent="0.25">
      <c r="A14" s="5" t="s">
        <v>866</v>
      </c>
      <c r="B14" s="5" t="s">
        <v>867</v>
      </c>
      <c r="C14" s="5" t="s">
        <v>31</v>
      </c>
      <c r="D14" s="30">
        <v>1</v>
      </c>
      <c r="E14" s="9">
        <v>5714.86</v>
      </c>
      <c r="F14" s="10">
        <f>D14*E14</f>
      </c>
    </row>
    <row r="15" spans="1:6" x14ac:dyDescent="0.25">
      <c r="A15" s="5" t="s">
        <v>868</v>
      </c>
      <c r="B15" s="5" t="s">
        <v>869</v>
      </c>
      <c r="C15" s="5" t="s">
        <v>31</v>
      </c>
      <c r="D15" s="30">
        <v>1</v>
      </c>
      <c r="E15" s="9">
        <v>3369.24</v>
      </c>
      <c r="F15" s="10">
        <f>D15*E15</f>
      </c>
    </row>
    <row r="16" spans="1:6" x14ac:dyDescent="0.25">
      <c r="A16" s="5" t="s">
        <v>870</v>
      </c>
      <c r="B16" s="5" t="s">
        <v>871</v>
      </c>
      <c r="C16" s="5" t="s">
        <v>31</v>
      </c>
      <c r="D16" s="30">
        <v>1</v>
      </c>
      <c r="E16" s="9">
        <v>410</v>
      </c>
      <c r="F16" s="10">
        <f>D16*E16</f>
      </c>
    </row>
    <row r="17" spans="1:6" x14ac:dyDescent="0.25">
      <c r="A17" s="5" t="s">
        <v>872</v>
      </c>
      <c r="B17" s="5" t="s">
        <v>873</v>
      </c>
      <c r="C17" s="5" t="s">
        <v>31</v>
      </c>
      <c r="D17" s="30">
        <v>1</v>
      </c>
      <c r="E17" s="9">
        <v>295</v>
      </c>
      <c r="F17" s="10">
        <f>D17*E17</f>
      </c>
    </row>
    <row r="18" spans="1:6" x14ac:dyDescent="0.25">
      <c r="A18" s="5" t="s">
        <v>874</v>
      </c>
      <c r="B18" s="5" t="s">
        <v>875</v>
      </c>
      <c r="C18" s="5" t="s">
        <v>855</v>
      </c>
      <c r="D18" s="30">
        <v>12.89</v>
      </c>
      <c r="E18" s="9">
        <v>235.06</v>
      </c>
      <c r="F18" s="10">
        <f>D18*E18</f>
      </c>
    </row>
    <row r="19" spans="1:6" x14ac:dyDescent="0.25">
      <c r="A19" s="5" t="s">
        <v>876</v>
      </c>
      <c r="B19" s="5" t="s">
        <v>877</v>
      </c>
      <c r="C19" s="5" t="s">
        <v>178</v>
      </c>
      <c r="D19" s="30">
        <v>1</v>
      </c>
      <c r="E19" s="9">
        <v>193.62</v>
      </c>
      <c r="F19" s="10">
        <f>D19*E19</f>
      </c>
    </row>
    <row r="20" spans="1:6" x14ac:dyDescent="0.25">
      <c r="A20" s="5" t="s">
        <v>878</v>
      </c>
      <c r="B20" s="5" t="s">
        <v>879</v>
      </c>
      <c r="C20" s="5" t="s">
        <v>31</v>
      </c>
      <c r="D20" s="30">
        <v>1</v>
      </c>
      <c r="E20" s="9">
        <v>249.52</v>
      </c>
      <c r="F20" s="10">
        <f>D20*E20</f>
      </c>
    </row>
    <row r="21" spans="1:6" x14ac:dyDescent="0.25">
      <c r="A21" s="5" t="s">
        <v>880</v>
      </c>
      <c r="B21" s="5" t="s">
        <v>881</v>
      </c>
      <c r="C21" s="5" t="s">
        <v>178</v>
      </c>
      <c r="D21" s="30">
        <v>47</v>
      </c>
      <c r="E21" s="9">
        <v>39.7</v>
      </c>
      <c r="F21" s="10">
        <f>D21*E21</f>
      </c>
    </row>
    <row r="22" spans="1:6" x14ac:dyDescent="0.25">
      <c r="A22" s="5" t="s">
        <v>882</v>
      </c>
      <c r="B22" s="5" t="s">
        <v>883</v>
      </c>
      <c r="C22" s="5" t="s">
        <v>31</v>
      </c>
      <c r="D22" s="30">
        <v>7</v>
      </c>
      <c r="E22" s="9">
        <v>272.86</v>
      </c>
      <c r="F22" s="10">
        <f>D22*E22</f>
      </c>
    </row>
    <row r="23" spans="1:6" x14ac:dyDescent="0.25">
      <c r="A23" s="5" t="s">
        <v>884</v>
      </c>
      <c r="B23" s="5" t="s">
        <v>885</v>
      </c>
      <c r="C23" s="5" t="s">
        <v>31</v>
      </c>
      <c r="D23" s="30">
        <v>1</v>
      </c>
      <c r="E23" s="9">
        <v>220.71</v>
      </c>
      <c r="F23" s="10">
        <f>D23*E23</f>
      </c>
    </row>
    <row r="24" spans="1:6" x14ac:dyDescent="0.25">
      <c r="A24" s="5" t="s">
        <v>886</v>
      </c>
      <c r="B24" s="5" t="s">
        <v>887</v>
      </c>
      <c r="C24" s="5" t="s">
        <v>31</v>
      </c>
      <c r="D24" s="30">
        <v>1</v>
      </c>
      <c r="E24" s="9">
        <v>338.88</v>
      </c>
      <c r="F24" s="10">
        <f>D24*E24</f>
      </c>
    </row>
    <row r="25" spans="1:6" x14ac:dyDescent="0.25">
      <c r="A25" s="5" t="s">
        <v>888</v>
      </c>
      <c r="B25" s="5" t="s">
        <v>889</v>
      </c>
      <c r="C25" s="5" t="s">
        <v>178</v>
      </c>
      <c r="D25" s="30">
        <v>15.36</v>
      </c>
      <c r="E25" s="9">
        <v>104.26</v>
      </c>
      <c r="F25" s="10">
        <f>D25*E25</f>
      </c>
    </row>
    <row r="26" spans="1:6" x14ac:dyDescent="0.25">
      <c r="A26" s="5" t="s">
        <v>890</v>
      </c>
      <c r="B26" s="5" t="s">
        <v>891</v>
      </c>
      <c r="C26" s="5" t="s">
        <v>31</v>
      </c>
      <c r="D26" s="30">
        <v>1</v>
      </c>
      <c r="E26" s="9">
        <v>378.63</v>
      </c>
      <c r="F26" s="10">
        <f>D26*E26</f>
      </c>
    </row>
    <row r="27" spans="1:6" x14ac:dyDescent="0.25">
      <c r="A27" s="5" t="s">
        <v>892</v>
      </c>
      <c r="B27" s="5" t="s">
        <v>893</v>
      </c>
      <c r="C27" s="5" t="s">
        <v>31</v>
      </c>
      <c r="D27" s="30">
        <v>1</v>
      </c>
      <c r="E27" s="9">
        <v>244.88</v>
      </c>
      <c r="F27" s="10">
        <f>D27*E27</f>
      </c>
    </row>
    <row r="28" spans="1:6" x14ac:dyDescent="0.25">
      <c r="A28" s="5" t="s">
        <v>894</v>
      </c>
      <c r="B28" s="5" t="s">
        <v>895</v>
      </c>
      <c r="C28" s="5" t="s">
        <v>31</v>
      </c>
      <c r="D28" s="30">
        <v>1</v>
      </c>
      <c r="E28" s="9">
        <v>154.15</v>
      </c>
      <c r="F28" s="10">
        <f>D28*E28</f>
      </c>
    </row>
    <row r="29" spans="1:6" x14ac:dyDescent="0.25">
      <c r="A29" s="5" t="s">
        <v>896</v>
      </c>
      <c r="B29" s="5" t="s">
        <v>897</v>
      </c>
      <c r="C29" s="5" t="s">
        <v>31</v>
      </c>
      <c r="D29" s="30">
        <v>1</v>
      </c>
      <c r="E29" s="9">
        <v>602.4</v>
      </c>
      <c r="F29" s="10">
        <f>D29*E29</f>
      </c>
    </row>
    <row r="30" spans="1:6" x14ac:dyDescent="0.25">
      <c r="A30" s="5" t="s">
        <v>898</v>
      </c>
      <c r="B30" s="5" t="s">
        <v>899</v>
      </c>
      <c r="C30" s="5" t="s">
        <v>31</v>
      </c>
      <c r="D30" s="30">
        <v>1</v>
      </c>
      <c r="E30" s="9">
        <v>343.61</v>
      </c>
      <c r="F30" s="10">
        <f>D30*E30</f>
      </c>
    </row>
    <row r="31" spans="1:6" x14ac:dyDescent="0.25">
      <c r="A31" s="5" t="s">
        <v>900</v>
      </c>
      <c r="B31" s="5" t="s">
        <v>901</v>
      </c>
      <c r="C31" s="5" t="s">
        <v>178</v>
      </c>
      <c r="D31" s="30">
        <v>27.46</v>
      </c>
      <c r="E31" s="9">
        <v>14.32</v>
      </c>
      <c r="F31" s="10">
        <f>D31*E31</f>
      </c>
    </row>
    <row r="32" spans="1:6" x14ac:dyDescent="0.25">
      <c r="A32" s="5" t="s">
        <v>902</v>
      </c>
      <c r="B32" s="5" t="s">
        <v>903</v>
      </c>
      <c r="C32" s="5" t="s">
        <v>31</v>
      </c>
      <c r="D32" s="30">
        <v>1</v>
      </c>
      <c r="E32" s="9">
        <v>58.18</v>
      </c>
      <c r="F32" s="10">
        <f>D32*E32</f>
      </c>
    </row>
    <row r="33" spans="1:6" x14ac:dyDescent="0.25">
      <c r="A33" s="5" t="s">
        <v>904</v>
      </c>
      <c r="B33" s="5" t="s">
        <v>905</v>
      </c>
      <c r="C33" s="5" t="s">
        <v>178</v>
      </c>
      <c r="D33" s="30">
        <v>10</v>
      </c>
      <c r="E33" s="9">
        <v>2.16</v>
      </c>
      <c r="F33" s="10">
        <f>D33*E33</f>
      </c>
    </row>
    <row r="34" spans="1:6" x14ac:dyDescent="0.25">
      <c r="A34" s="5" t="s">
        <v>906</v>
      </c>
      <c r="B34" s="5" t="s">
        <v>907</v>
      </c>
      <c r="C34" s="5" t="s">
        <v>433</v>
      </c>
      <c r="D34" s="30">
        <v>14</v>
      </c>
      <c r="E34" s="9">
        <v>6.52</v>
      </c>
      <c r="F34" s="10">
        <f>D34*E34</f>
      </c>
    </row>
    <row r="35" spans="1:6" x14ac:dyDescent="0.25">
      <c r="A35" s="5" t="s">
        <v>908</v>
      </c>
      <c r="B35" s="5" t="s">
        <v>909</v>
      </c>
      <c r="C35" s="5" t="s">
        <v>433</v>
      </c>
      <c r="D35" s="30">
        <v>1</v>
      </c>
      <c r="E35" s="9">
        <v>509.57</v>
      </c>
      <c r="F35" s="10">
        <f>D35*E35</f>
      </c>
    </row>
    <row r="36" spans="1:6" x14ac:dyDescent="0.25">
      <c r="A36" s="5" t="s">
        <v>910</v>
      </c>
      <c r="B36" s="5" t="s">
        <v>911</v>
      </c>
      <c r="C36" s="5" t="s">
        <v>433</v>
      </c>
      <c r="D36" s="30">
        <v>1</v>
      </c>
      <c r="E36" s="9">
        <v>366.11</v>
      </c>
      <c r="F36" s="10">
        <f>D36*E36</f>
      </c>
    </row>
    <row r="37" spans="1:6" x14ac:dyDescent="0.25">
      <c r="A37" s="5" t="s">
        <v>912</v>
      </c>
      <c r="B37" s="5" t="s">
        <v>913</v>
      </c>
      <c r="C37" s="5" t="s">
        <v>155</v>
      </c>
      <c r="D37" s="30">
        <v>140</v>
      </c>
      <c r="E37" s="9">
        <v>13.32</v>
      </c>
      <c r="F37" s="10">
        <f>D37*E37</f>
      </c>
    </row>
    <row r="38" spans="1:6" x14ac:dyDescent="0.25">
      <c r="A38" s="5" t="s">
        <v>914</v>
      </c>
      <c r="B38" s="5" t="s">
        <v>713</v>
      </c>
      <c r="C38" s="5" t="s">
        <v>433</v>
      </c>
      <c r="D38" s="30">
        <v>1</v>
      </c>
      <c r="E38" s="9">
        <v>114</v>
      </c>
      <c r="F38" s="10">
        <f>D38*E38</f>
      </c>
    </row>
    <row r="39" spans="1:6" x14ac:dyDescent="0.25">
      <c r="A39" s="5" t="s">
        <v>915</v>
      </c>
      <c r="B39" s="5" t="s">
        <v>916</v>
      </c>
      <c r="C39" s="5" t="s">
        <v>31</v>
      </c>
      <c r="D39" s="30">
        <v>1</v>
      </c>
      <c r="E39" s="9">
        <v>86.53</v>
      </c>
      <c r="F39" s="10">
        <f>D39*E39</f>
      </c>
    </row>
    <row r="40" spans="1:6" x14ac:dyDescent="0.25">
      <c r="A40" s="5" t="s">
        <v>917</v>
      </c>
      <c r="B40" s="5" t="s">
        <v>918</v>
      </c>
      <c r="C40" s="5" t="s">
        <v>31</v>
      </c>
      <c r="D40" s="30">
        <v>1</v>
      </c>
      <c r="E40" s="9">
        <v>141.93</v>
      </c>
      <c r="F40" s="10">
        <f>D40*E40</f>
      </c>
    </row>
    <row r="41" spans="1:6" x14ac:dyDescent="0.25">
      <c r="A41" s="5" t="s">
        <v>919</v>
      </c>
      <c r="B41" s="5" t="s">
        <v>920</v>
      </c>
      <c r="C41" s="5" t="s">
        <v>31</v>
      </c>
      <c r="D41" s="30">
        <v>1</v>
      </c>
      <c r="E41" s="9">
        <v>94.12</v>
      </c>
      <c r="F41" s="10">
        <f>D41*E41</f>
      </c>
    </row>
    <row r="42" spans="1:6" x14ac:dyDescent="0.25">
      <c r="A42" s="5" t="s">
        <v>921</v>
      </c>
      <c r="B42" s="5" t="s">
        <v>922</v>
      </c>
      <c r="C42" s="5" t="s">
        <v>31</v>
      </c>
      <c r="D42" s="30">
        <v>1</v>
      </c>
      <c r="E42" s="9">
        <v>193.46</v>
      </c>
      <c r="F42" s="10">
        <f>D42*E42</f>
      </c>
    </row>
    <row r="43" spans="1:6" x14ac:dyDescent="0.25">
      <c r="A43" s="5" t="s">
        <v>923</v>
      </c>
      <c r="B43" s="5" t="s">
        <v>924</v>
      </c>
      <c r="C43" s="5" t="s">
        <v>31</v>
      </c>
      <c r="D43" s="30">
        <v>5</v>
      </c>
      <c r="E43" s="9">
        <v>26.14</v>
      </c>
      <c r="F43" s="10">
        <f>D43*E43</f>
      </c>
    </row>
    <row r="44" spans="2:6" x14ac:dyDescent="0.25">
      <c r="B44" s="25" t="s">
        <v>925</v>
      </c>
      <c r="F44" s="10">
        <f>SUM(F5:F43)</f>
      </c>
    </row>
    <row r="46" spans="1:1" x14ac:dyDescent="0.25">
      <c r="A46" s="25" t="s">
        <v>926</v>
      </c>
    </row>
    <row r="47" spans="2:6" x14ac:dyDescent="0.25">
      <c r="B47" s="5" t="s">
        <v>927</v>
      </c>
      <c r="F47" s="9">
        <v>7291.29</v>
      </c>
    </row>
    <row r="48" spans="2:6" x14ac:dyDescent="0.25">
      <c r="B48" s="5" t="s">
        <v>928</v>
      </c>
      <c r="F48" s="9">
        <v>1252.26</v>
      </c>
    </row>
    <row r="49" spans="2:6" x14ac:dyDescent="0.25">
      <c r="B49" s="5" t="s">
        <v>929</v>
      </c>
      <c r="F49" s="9">
        <v>14961.69</v>
      </c>
    </row>
    <row r="50" spans="2:6" x14ac:dyDescent="0.25">
      <c r="B50" s="5" t="s">
        <v>930</v>
      </c>
      <c r="F50" s="9">
        <v>15854.11</v>
      </c>
    </row>
    <row r="51" spans="2:6" x14ac:dyDescent="0.25">
      <c r="B51" s="5" t="s">
        <v>931</v>
      </c>
      <c r="F51" s="9">
        <v>3931.38</v>
      </c>
    </row>
    <row r="52" spans="2:6" x14ac:dyDescent="0.25">
      <c r="B52" s="5" t="s">
        <v>932</v>
      </c>
      <c r="F52" s="9">
        <v>19771.7</v>
      </c>
    </row>
    <row r="53" spans="2:6" x14ac:dyDescent="0.25">
      <c r="B53" s="5" t="s">
        <v>933</v>
      </c>
      <c r="F53" s="9">
        <v>5347.5</v>
      </c>
    </row>
    <row r="54" spans="2:6" x14ac:dyDescent="0.25">
      <c r="B54" s="5" t="s">
        <v>934</v>
      </c>
      <c r="F54" s="9">
        <v>11408.52</v>
      </c>
    </row>
    <row r="55" spans="2:6" x14ac:dyDescent="0.25">
      <c r="B55" s="5" t="s">
        <v>935</v>
      </c>
      <c r="F55" s="9">
        <v>2922.2</v>
      </c>
    </row>
    <row r="56" spans="2:6" x14ac:dyDescent="0.25">
      <c r="B56" s="5" t="s">
        <v>936</v>
      </c>
      <c r="F56" s="9">
        <v>646.74</v>
      </c>
    </row>
    <row r="57" spans="2:6" x14ac:dyDescent="0.25">
      <c r="B57" s="5" t="s">
        <v>937</v>
      </c>
      <c r="F57" s="9">
        <v>1500</v>
      </c>
    </row>
    <row r="58" spans="2:6" x14ac:dyDescent="0.25">
      <c r="B58" s="5" t="s">
        <v>938</v>
      </c>
      <c r="F58" s="9">
        <v>4307.07</v>
      </c>
    </row>
    <row r="59" spans="2:6" x14ac:dyDescent="0.25">
      <c r="B59" s="25" t="s">
        <v>831</v>
      </c>
      <c r="F59" s="11">
        <f>SUM(F47:F58)</f>
      </c>
    </row>
    <row r="60" spans="2:2" x14ac:dyDescent="0.25">
      <c r="B60" s="5" t="s">
        <v>939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46" customWidth="1"/>
    <col min="2" max="2" width="14" customWidth="1"/>
    <col min="3" max="7" width="16" customWidth="1"/>
  </cols>
  <sheetData>
    <row r="1" spans="1:1" x14ac:dyDescent="0.25">
      <c r="A1" s="4" t="s">
        <v>940</v>
      </c>
    </row>
    <row r="2" spans="1:1" x14ac:dyDescent="0.25">
      <c r="A2" s="20" t="s">
        <v>941</v>
      </c>
    </row>
    <row r="4" ht="32" customHeight="1" spans="1:7" x14ac:dyDescent="0.25">
      <c r="A4" s="7" t="s">
        <v>942</v>
      </c>
      <c r="B4" s="7" t="s">
        <v>943</v>
      </c>
      <c r="C4" s="7" t="s">
        <v>944</v>
      </c>
      <c r="D4" s="7" t="s">
        <v>945</v>
      </c>
      <c r="E4" s="7" t="s">
        <v>946</v>
      </c>
      <c r="F4" s="7" t="s">
        <v>947</v>
      </c>
      <c r="G4" s="7" t="s">
        <v>948</v>
      </c>
    </row>
    <row r="5" spans="1:7" x14ac:dyDescent="0.25">
      <c r="A5" s="5" t="s">
        <v>949</v>
      </c>
      <c r="B5" s="30">
        <v>4</v>
      </c>
      <c r="C5" s="22">
        <v>9249.99</v>
      </c>
      <c r="D5" s="22">
        <v>3220.16</v>
      </c>
      <c r="E5" s="23">
        <f>C5+D5</f>
      </c>
      <c r="F5" s="23">
        <f>E5/B5</f>
      </c>
      <c r="G5" s="22">
        <v>0</v>
      </c>
    </row>
    <row r="6" spans="1:7" x14ac:dyDescent="0.25">
      <c r="A6" s="5" t="s">
        <v>950</v>
      </c>
      <c r="B6" s="30">
        <v>6</v>
      </c>
      <c r="C6" s="22">
        <v>12256.28</v>
      </c>
      <c r="D6" s="22">
        <v>4927.46</v>
      </c>
      <c r="E6" s="23">
        <f>C6+D6</f>
      </c>
      <c r="F6" s="23">
        <f>E6/B6</f>
      </c>
      <c r="G6" s="22">
        <v>0</v>
      </c>
    </row>
    <row r="7" spans="1:7" x14ac:dyDescent="0.25">
      <c r="A7" s="5" t="s">
        <v>951</v>
      </c>
      <c r="B7" s="30">
        <v>8</v>
      </c>
      <c r="C7" s="22">
        <v>16536.63</v>
      </c>
      <c r="D7" s="22">
        <v>5881.65</v>
      </c>
      <c r="E7" s="23">
        <f>C7+D7</f>
      </c>
      <c r="F7" s="23">
        <f>E7/B7</f>
      </c>
      <c r="G7" s="22">
        <v>2479.59</v>
      </c>
    </row>
    <row r="8" spans="1:7" x14ac:dyDescent="0.25">
      <c r="A8" s="5" t="s">
        <v>952</v>
      </c>
      <c r="B8" s="30">
        <v>9</v>
      </c>
      <c r="C8" s="22">
        <v>19895.77</v>
      </c>
      <c r="D8" s="22">
        <v>7828.32</v>
      </c>
      <c r="E8" s="23">
        <f>C8+D8</f>
      </c>
      <c r="F8" s="23">
        <f>E8/B8</f>
      </c>
      <c r="G8" s="22">
        <v>1385.06</v>
      </c>
    </row>
    <row r="9" spans="1:7" x14ac:dyDescent="0.25">
      <c r="A9" s="5" t="s">
        <v>953</v>
      </c>
      <c r="B9" s="30">
        <v>9</v>
      </c>
      <c r="C9" s="22">
        <v>20652.79</v>
      </c>
      <c r="D9" s="22">
        <v>8172.39</v>
      </c>
      <c r="E9" s="23">
        <f>C9+D9</f>
      </c>
      <c r="F9" s="23">
        <f>E9/B9</f>
      </c>
      <c r="G9" s="22">
        <v>1403.22</v>
      </c>
    </row>
    <row r="10" spans="1:7" x14ac:dyDescent="0.25">
      <c r="A10" s="5" t="s">
        <v>954</v>
      </c>
      <c r="B10" s="30">
        <v>9</v>
      </c>
      <c r="C10" s="22">
        <v>20094.9</v>
      </c>
      <c r="D10" s="22">
        <v>8095.56</v>
      </c>
      <c r="E10" s="23">
        <f>C10+D10</f>
      </c>
      <c r="F10" s="23">
        <f>E10/B10</f>
      </c>
      <c r="G10" s="22">
        <v>964.64</v>
      </c>
    </row>
    <row r="11" spans="1:7" x14ac:dyDescent="0.25">
      <c r="A11" s="25" t="s">
        <v>955</v>
      </c>
      <c r="B11" s="31">
        <f>AVERAGE(B8:B10)</f>
      </c>
      <c r="C11" s="26">
        <f>AVERAGE(C8:C10)</f>
      </c>
      <c r="D11" s="26">
        <f>AVERAGE(D8:D10)</f>
      </c>
      <c r="E11" s="26">
        <f>AVERAGE(E8:E10)</f>
      </c>
      <c r="F11" s="26">
        <f>AVERAGE(F8:F10)</f>
      </c>
      <c r="G11" s="26">
        <f>AVERAGE(G8:G10)</f>
      </c>
    </row>
    <row r="12" spans="1:1" x14ac:dyDescent="0.25">
      <c r="A12" s="20" t="s">
        <v>956</v>
      </c>
    </row>
    <row r="14" spans="1:1" x14ac:dyDescent="0.25">
      <c r="A14" s="25" t="s">
        <v>957</v>
      </c>
    </row>
    <row r="15" ht="32" customHeight="1" spans="1:3" x14ac:dyDescent="0.25">
      <c r="A15" s="7" t="s">
        <v>781</v>
      </c>
      <c r="B15" s="7" t="s">
        <v>958</v>
      </c>
      <c r="C15" s="7" t="s">
        <v>959</v>
      </c>
    </row>
    <row r="16" spans="1:3" x14ac:dyDescent="0.25">
      <c r="A16" s="5" t="s">
        <v>960</v>
      </c>
      <c r="B16" s="23">
        <f>E11</f>
      </c>
      <c r="C16" s="5" t="s">
        <v>961</v>
      </c>
    </row>
    <row r="17" spans="1:3" x14ac:dyDescent="0.25">
      <c r="A17" s="5" t="s">
        <v>962</v>
      </c>
      <c r="B17" s="32">
        <v>8500</v>
      </c>
      <c r="C17" s="5" t="s">
        <v>963</v>
      </c>
    </row>
    <row r="18" spans="1:3" x14ac:dyDescent="0.25">
      <c r="A18" s="5" t="s">
        <v>964</v>
      </c>
      <c r="B18" s="32">
        <v>1600</v>
      </c>
      <c r="C18" s="5" t="s">
        <v>965</v>
      </c>
    </row>
    <row r="19" spans="1:3" x14ac:dyDescent="0.25">
      <c r="A19" s="5" t="s">
        <v>966</v>
      </c>
      <c r="B19" s="32">
        <v>6100</v>
      </c>
      <c r="C19" s="5" t="s">
        <v>967</v>
      </c>
    </row>
    <row r="20" spans="1:3" x14ac:dyDescent="0.25">
      <c r="A20" s="5" t="s">
        <v>968</v>
      </c>
      <c r="B20" s="32">
        <v>3830</v>
      </c>
      <c r="C20" s="5" t="s">
        <v>969</v>
      </c>
    </row>
    <row r="21" spans="1:3" x14ac:dyDescent="0.25">
      <c r="A21" s="5" t="s">
        <v>970</v>
      </c>
      <c r="B21" s="32">
        <v>400</v>
      </c>
      <c r="C21" s="5" t="s">
        <v>971</v>
      </c>
    </row>
    <row r="22" spans="1:3" x14ac:dyDescent="0.25">
      <c r="A22" s="25" t="s">
        <v>972</v>
      </c>
      <c r="B22" s="26">
        <f>SUM(B16:B21)</f>
      </c>
      <c r="C22" s="5" t="s">
        <v>973</v>
      </c>
    </row>
    <row r="24" spans="1:1" x14ac:dyDescent="0.25">
      <c r="A24" s="25" t="s">
        <v>974</v>
      </c>
    </row>
    <row r="25" spans="1:3" x14ac:dyDescent="0.25">
      <c r="A25" s="5" t="s">
        <v>975</v>
      </c>
      <c r="B25" s="33">
        <v>160</v>
      </c>
      <c r="C25" s="5" t="s">
        <v>976</v>
      </c>
    </row>
    <row r="26" spans="1:3" x14ac:dyDescent="0.25">
      <c r="A26" s="5" t="s">
        <v>977</v>
      </c>
      <c r="B26" s="34">
        <v>0.85</v>
      </c>
      <c r="C26" s="5" t="s">
        <v>978</v>
      </c>
    </row>
    <row r="27" spans="1:3" x14ac:dyDescent="0.25">
      <c r="A27" s="5" t="s">
        <v>979</v>
      </c>
      <c r="B27" s="10">
        <f>E11/(B11*B25*B26)</f>
      </c>
      <c r="C27" s="5" t="s">
        <v>2</v>
      </c>
    </row>
    <row r="28" spans="1:3" x14ac:dyDescent="0.25">
      <c r="A28" s="5" t="s">
        <v>980</v>
      </c>
      <c r="B28" s="10">
        <f>B22/(B11*B25*B26)</f>
      </c>
      <c r="C28" s="5" t="s">
        <v>981</v>
      </c>
    </row>
    <row r="29" spans="1:3" x14ac:dyDescent="0.25">
      <c r="A29" s="5" t="s">
        <v>982</v>
      </c>
      <c r="B29" s="33"/>
      <c r="C29" s="5" t="s">
        <v>983</v>
      </c>
    </row>
    <row r="30" spans="1:3" x14ac:dyDescent="0.25">
      <c r="A30" s="5" t="s">
        <v>984</v>
      </c>
      <c r="B30" s="23">
        <f>IF(B29="","",B22/B29)</f>
      </c>
      <c r="C30" s="5" t="s">
        <v>985</v>
      </c>
    </row>
    <row r="31" spans="1:3" x14ac:dyDescent="0.25">
      <c r="A31" s="5" t="s">
        <v>986</v>
      </c>
      <c r="B31" s="35">
        <f>IF(B29="","",B11*B25*B26/B29)</f>
      </c>
      <c r="C31" s="5" t="s">
        <v>2</v>
      </c>
    </row>
    <row r="33" ht="30" customHeight="1" spans="1:7" x14ac:dyDescent="0.25">
      <c r="A33" s="2" t="s">
        <v>987</v>
      </c>
      <c r="B33" s="2"/>
      <c r="C33" s="2"/>
      <c r="D33" s="2"/>
      <c r="E33" s="2"/>
      <c r="F33" s="2"/>
      <c r="G33" s="2"/>
    </row>
  </sheetData>
  <mergeCells count="1">
    <mergeCell ref="A33:G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44" customWidth="1"/>
    <col min="2" max="4" width="13" customWidth="1"/>
    <col min="5" max="6" width="15" customWidth="1"/>
    <col min="7" max="7" width="40" customWidth="1"/>
  </cols>
  <sheetData>
    <row r="1" spans="1:1" x14ac:dyDescent="0.25">
      <c r="A1" s="4" t="s">
        <v>988</v>
      </c>
    </row>
    <row r="2" spans="1:1" x14ac:dyDescent="0.25">
      <c r="A2" s="5" t="s">
        <v>989</v>
      </c>
    </row>
    <row r="3" spans="1:1" x14ac:dyDescent="0.25">
      <c r="A3" s="20" t="s">
        <v>990</v>
      </c>
    </row>
    <row r="5" spans="1:3" x14ac:dyDescent="0.25">
      <c r="A5" s="5" t="s">
        <v>991</v>
      </c>
      <c r="B5" s="21">
        <v>165</v>
      </c>
      <c r="C5" s="5" t="s">
        <v>992</v>
      </c>
    </row>
    <row r="6" spans="1:2" x14ac:dyDescent="0.25">
      <c r="A6" s="5" t="s">
        <v>993</v>
      </c>
      <c r="B6" s="21">
        <v>21</v>
      </c>
    </row>
    <row r="7" spans="1:2" x14ac:dyDescent="0.25">
      <c r="A7" s="5" t="s">
        <v>994</v>
      </c>
      <c r="B7" s="21">
        <v>8</v>
      </c>
    </row>
    <row r="8" spans="1:2" x14ac:dyDescent="0.25">
      <c r="A8" s="5" t="s">
        <v>995</v>
      </c>
      <c r="B8" s="36">
        <f>'Fábrica coste mensual'!B27</f>
      </c>
    </row>
    <row r="10" ht="32" customHeight="1" spans="1:7" x14ac:dyDescent="0.25">
      <c r="A10" s="7" t="s">
        <v>996</v>
      </c>
      <c r="B10" s="7" t="s">
        <v>997</v>
      </c>
      <c r="C10" s="7" t="s">
        <v>998</v>
      </c>
      <c r="D10" s="7" t="s">
        <v>999</v>
      </c>
      <c r="E10" s="7" t="s">
        <v>1000</v>
      </c>
      <c r="F10" s="7" t="s">
        <v>1001</v>
      </c>
      <c r="G10" s="7" t="s">
        <v>1002</v>
      </c>
    </row>
    <row r="11" spans="1:7" x14ac:dyDescent="0.25">
      <c r="A11" s="5" t="s">
        <v>1003</v>
      </c>
      <c r="B11" s="21"/>
      <c r="C11" s="21"/>
      <c r="D11" s="37">
        <f>IF(OR(B11="",C11=""),"",B11*C11*$B$7)</f>
      </c>
      <c r="E11" s="23">
        <f>IF(D11="","",D11*$B$8)</f>
      </c>
      <c r="F11" s="23">
        <f>IF(E11="","",E11/$B$5)</f>
      </c>
      <c r="G11" s="5" t="s">
        <v>1004</v>
      </c>
    </row>
    <row r="12" spans="1:7" x14ac:dyDescent="0.25">
      <c r="A12" s="5" t="s">
        <v>1005</v>
      </c>
      <c r="B12" s="21"/>
      <c r="C12" s="21"/>
      <c r="D12" s="37">
        <f>IF(OR(B12="",C12=""),"",B12*C12*$B$7)</f>
      </c>
      <c r="E12" s="23">
        <f>IF(D12="","",D12*$B$8)</f>
      </c>
      <c r="F12" s="23">
        <f>IF(E12="","",E12/$B$5)</f>
      </c>
      <c r="G12" s="5" t="s">
        <v>1006</v>
      </c>
    </row>
    <row r="13" spans="1:7" x14ac:dyDescent="0.25">
      <c r="A13" s="5" t="s">
        <v>1007</v>
      </c>
      <c r="B13" s="21"/>
      <c r="C13" s="21"/>
      <c r="D13" s="37">
        <f>IF(OR(B13="",C13=""),"",B13*C13*$B$7)</f>
      </c>
      <c r="E13" s="23">
        <f>IF(D13="","",D13*$B$8)</f>
      </c>
      <c r="F13" s="23">
        <f>IF(E13="","",E13/$B$5)</f>
      </c>
      <c r="G13" s="5" t="s">
        <v>2</v>
      </c>
    </row>
    <row r="14" spans="1:7" x14ac:dyDescent="0.25">
      <c r="A14" s="5" t="s">
        <v>1008</v>
      </c>
      <c r="B14" s="21"/>
      <c r="C14" s="21"/>
      <c r="D14" s="37">
        <f>IF(OR(B14="",C14=""),"",B14*C14*$B$7)</f>
      </c>
      <c r="E14" s="23">
        <f>IF(D14="","",D14*$B$8)</f>
      </c>
      <c r="F14" s="23">
        <f>IF(E14="","",E14/$B$5)</f>
      </c>
      <c r="G14" s="5" t="s">
        <v>2</v>
      </c>
    </row>
    <row r="15" spans="1:7" x14ac:dyDescent="0.25">
      <c r="A15" s="5" t="s">
        <v>753</v>
      </c>
      <c r="B15" s="21"/>
      <c r="C15" s="21"/>
      <c r="D15" s="37">
        <f>IF(OR(B15="",C15=""),"",B15*C15*$B$7)</f>
      </c>
      <c r="E15" s="23">
        <f>IF(D15="","",D15*$B$8)</f>
      </c>
      <c r="F15" s="23">
        <f>IF(E15="","",E15/$B$5)</f>
      </c>
      <c r="G15" s="5" t="s">
        <v>1009</v>
      </c>
    </row>
    <row r="16" spans="1:7" x14ac:dyDescent="0.25">
      <c r="A16" s="5" t="s">
        <v>1010</v>
      </c>
      <c r="B16" s="21"/>
      <c r="C16" s="21"/>
      <c r="D16" s="37">
        <f>IF(OR(B16="",C16=""),"",B16*C16*$B$7)</f>
      </c>
      <c r="E16" s="23">
        <f>IF(D16="","",D16*$B$8)</f>
      </c>
      <c r="F16" s="23">
        <f>IF(E16="","",E16/$B$5)</f>
      </c>
      <c r="G16" s="5" t="s">
        <v>1011</v>
      </c>
    </row>
    <row r="17" spans="1:7" x14ac:dyDescent="0.25">
      <c r="A17" s="5" t="s">
        <v>1012</v>
      </c>
      <c r="B17" s="21"/>
      <c r="C17" s="21"/>
      <c r="D17" s="37">
        <f>IF(OR(B17="",C17=""),"",B17*C17*$B$7)</f>
      </c>
      <c r="E17" s="23">
        <f>IF(D17="","",D17*$B$8)</f>
      </c>
      <c r="F17" s="23">
        <f>IF(E17="","",E17/$B$5)</f>
      </c>
      <c r="G17" s="5" t="s">
        <v>1013</v>
      </c>
    </row>
    <row r="18" spans="1:7" x14ac:dyDescent="0.25">
      <c r="A18" s="5" t="s">
        <v>1014</v>
      </c>
      <c r="B18" s="21"/>
      <c r="C18" s="21"/>
      <c r="D18" s="37">
        <f>IF(OR(B18="",C18=""),"",B18*C18*$B$7)</f>
      </c>
      <c r="E18" s="23">
        <f>IF(D18="","",D18*$B$8)</f>
      </c>
      <c r="F18" s="23">
        <f>IF(E18="","",E18/$B$5)</f>
      </c>
      <c r="G18" s="5" t="s">
        <v>1015</v>
      </c>
    </row>
    <row r="19" spans="1:7" x14ac:dyDescent="0.25">
      <c r="A19" s="5" t="s">
        <v>790</v>
      </c>
      <c r="B19" s="21"/>
      <c r="C19" s="21"/>
      <c r="D19" s="37">
        <f>IF(OR(B19="",C19=""),"",B19*C19*$B$7)</f>
      </c>
      <c r="E19" s="23">
        <f>IF(D19="","",D19*$B$8)</f>
      </c>
      <c r="F19" s="23">
        <f>IF(E19="","",E19/$B$5)</f>
      </c>
      <c r="G19" s="5" t="s">
        <v>1016</v>
      </c>
    </row>
    <row r="20" spans="1:7" x14ac:dyDescent="0.25">
      <c r="A20" s="5" t="s">
        <v>756</v>
      </c>
      <c r="B20" s="21"/>
      <c r="C20" s="21"/>
      <c r="D20" s="37">
        <f>IF(OR(B20="",C20=""),"",B20*C20*$B$7)</f>
      </c>
      <c r="E20" s="23">
        <f>IF(D20="","",D20*$B$8)</f>
      </c>
      <c r="F20" s="23">
        <f>IF(E20="","",E20/$B$5)</f>
      </c>
      <c r="G20" s="5" t="s">
        <v>1017</v>
      </c>
    </row>
    <row r="21" spans="1:7" x14ac:dyDescent="0.25">
      <c r="A21" s="5" t="s">
        <v>1018</v>
      </c>
      <c r="B21" s="21"/>
      <c r="C21" s="21"/>
      <c r="D21" s="37">
        <f>IF(OR(B21="",C21=""),"",B21*C21*$B$7)</f>
      </c>
      <c r="E21" s="23">
        <f>IF(D21="","",D21*$B$8)</f>
      </c>
      <c r="F21" s="23">
        <f>IF(E21="","",E21/$B$5)</f>
      </c>
      <c r="G21" s="5" t="s">
        <v>1019</v>
      </c>
    </row>
    <row r="22" spans="1:6" x14ac:dyDescent="0.25">
      <c r="A22" s="25" t="s">
        <v>1020</v>
      </c>
      <c r="C22" s="38">
        <f>SUM(C11:C21)</f>
      </c>
      <c r="D22" s="39">
        <f>SUM(D11:D21)</f>
      </c>
      <c r="E22" s="26">
        <f>SUM(E11:E21)</f>
      </c>
      <c r="F22" s="26">
        <f>IF(E22=0,"",E22/$B$5)</f>
      </c>
    </row>
    <row r="24" spans="1:3" x14ac:dyDescent="0.25">
      <c r="A24" s="25" t="s">
        <v>1021</v>
      </c>
      <c r="B24" s="38">
        <f>IF(COUNT(C11:C21)=0,"",MAX(C11:C21))</f>
      </c>
      <c r="C24" s="5" t="s">
        <v>1022</v>
      </c>
    </row>
    <row r="25" spans="1:3" x14ac:dyDescent="0.25">
      <c r="A25" s="25" t="s">
        <v>1023</v>
      </c>
      <c r="B25" s="38">
        <f>IF(C22=0,"",C22)</f>
      </c>
      <c r="C25" s="5" t="s">
        <v>1024</v>
      </c>
    </row>
    <row r="26" spans="1:3" x14ac:dyDescent="0.25">
      <c r="A26" s="25" t="s">
        <v>1025</v>
      </c>
      <c r="B26" s="40">
        <f>IF(B24="","",$B$6/B24)</f>
      </c>
      <c r="C26" s="5" t="s">
        <v>2</v>
      </c>
    </row>
    <row r="27" spans="1:3" x14ac:dyDescent="0.25">
      <c r="A27" s="25" t="s">
        <v>1026</v>
      </c>
      <c r="B27" s="39">
        <f>IF(B26="","",B26*$B$5)</f>
      </c>
      <c r="C27" s="5" t="s">
        <v>2</v>
      </c>
    </row>
    <row r="28" spans="1:3" x14ac:dyDescent="0.25">
      <c r="A28" s="25" t="s">
        <v>1027</v>
      </c>
      <c r="B28" s="26">
        <f>IF(B26="","",'Fábrica coste mensual'!B22/B26)</f>
      </c>
      <c r="C28" s="5" t="s">
        <v>1028</v>
      </c>
    </row>
    <row r="29" spans="1:3" x14ac:dyDescent="0.25">
      <c r="A29" s="25" t="s">
        <v>1029</v>
      </c>
      <c r="B29" s="26">
        <f>IF(B27="","",'Fábrica coste mensual'!B22/B27)</f>
      </c>
      <c r="C29" s="5" t="s">
        <v>985</v>
      </c>
    </row>
    <row r="31" spans="1:1" x14ac:dyDescent="0.25">
      <c r="A31" s="20" t="s">
        <v>1030</v>
      </c>
    </row>
    <row r="32" spans="1:1" x14ac:dyDescent="0.25">
      <c r="A32" s="20" t="s">
        <v>1031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2" customWidth="1"/>
    <col min="2" max="2" width="100" customWidth="1"/>
  </cols>
  <sheetData>
    <row r="1" ht="32" customHeight="1" spans="1:2" x14ac:dyDescent="0.25">
      <c r="A1" s="7" t="s">
        <v>1032</v>
      </c>
      <c r="B1" s="7" t="s">
        <v>1033</v>
      </c>
    </row>
    <row r="2" spans="1:2" x14ac:dyDescent="0.25">
      <c r="A2" s="5" t="s">
        <v>1034</v>
      </c>
      <c r="B2" s="2" t="s">
        <v>1035</v>
      </c>
    </row>
    <row r="3" spans="1:2" x14ac:dyDescent="0.25">
      <c r="A3" s="5" t="s">
        <v>783</v>
      </c>
      <c r="B3" s="2" t="s">
        <v>1036</v>
      </c>
    </row>
    <row r="4" spans="1:2" x14ac:dyDescent="0.25">
      <c r="A4" s="5" t="s">
        <v>783</v>
      </c>
      <c r="B4" s="2" t="s">
        <v>1037</v>
      </c>
    </row>
    <row r="5" spans="1:2" x14ac:dyDescent="0.25">
      <c r="A5" s="5" t="s">
        <v>783</v>
      </c>
      <c r="B5" s="2" t="s">
        <v>1038</v>
      </c>
    </row>
    <row r="6" spans="1:2" x14ac:dyDescent="0.25">
      <c r="A6" s="5" t="s">
        <v>1039</v>
      </c>
      <c r="B6" s="2" t="s">
        <v>1040</v>
      </c>
    </row>
    <row r="7" spans="1:2" x14ac:dyDescent="0.25">
      <c r="A7" s="5" t="s">
        <v>784</v>
      </c>
      <c r="B7" s="2" t="s">
        <v>1041</v>
      </c>
    </row>
    <row r="8" spans="1:2" x14ac:dyDescent="0.25">
      <c r="A8" s="5" t="s">
        <v>1042</v>
      </c>
      <c r="B8" s="2" t="s">
        <v>1043</v>
      </c>
    </row>
    <row r="9" spans="1:2" x14ac:dyDescent="0.25">
      <c r="A9" s="5" t="s">
        <v>1044</v>
      </c>
      <c r="B9" s="2" t="s">
        <v>1045</v>
      </c>
    </row>
    <row r="10" spans="1:2" x14ac:dyDescent="0.25">
      <c r="A10" s="5" t="s">
        <v>1046</v>
      </c>
      <c r="B10" s="2" t="s">
        <v>1047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Léeme</vt:lpstr>
      <vt:lpstr>Banco de precios</vt:lpstr>
      <vt:lpstr>Resumen proyectos</vt:lpstr>
      <vt:lpstr>Coste real vs venta</vt:lpstr>
      <vt:lpstr>Mahón (libro abierto)</vt:lpstr>
      <vt:lpstr>Implantación en obra</vt:lpstr>
      <vt:lpstr>Fábrica coste mensual</vt:lpstr>
      <vt:lpstr>Tiempos por oficio</vt:lpstr>
      <vt:lpstr>Incidencias detectadas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Montero</dc:creator>
  <dc:title/>
  <dc:subject/>
  <dc:description/>
  <cp:keywords/>
  <cp:category/>
  <cp:lastModifiedBy>Unknown</cp:lastModifiedBy>
  <dcterms:created xsi:type="dcterms:W3CDTF">2026-09-28T14:24:30Z</dcterms:created>
  <dcterms:modified xsi:type="dcterms:W3CDTF">2026-09-28T14:24:30Z</dcterms:modified>
</cp:coreProperties>
</file>